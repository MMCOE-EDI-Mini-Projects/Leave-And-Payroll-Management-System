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definedNames>
    <definedName function="false" hidden="true" localSheetId="1" name="_xlnm._FilterDatabase" vbProcedure="false">'Test Cases'!$A$1:$L$88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<sst xmlns="http://schemas.openxmlformats.org/spreadsheetml/2006/main" count="773" uniqueCount="318">
  <si>
    <t xml:space="preserve">LPMS - Test Case Execution Summary</t>
  </si>
  <si>
    <t xml:space="preserve">Change the Status dropdown on the 'Test Cases' sheet; counts below update automatically.</t>
  </si>
  <si>
    <t xml:space="preserve">Status</t>
  </si>
  <si>
    <t xml:space="preserve">Count</t>
  </si>
  <si>
    <t xml:space="preserve">% of Total</t>
  </si>
  <si>
    <t xml:space="preserve">Pass</t>
  </si>
  <si>
    <t xml:space="preserve">Fail</t>
  </si>
  <si>
    <t xml:space="preserve">Blocked</t>
  </si>
  <si>
    <t xml:space="preserve">Not Run</t>
  </si>
  <si>
    <t xml:space="preserve">Not Implemented</t>
  </si>
  <si>
    <t xml:space="preserve">Total</t>
  </si>
  <si>
    <t xml:space="preserve">Module</t>
  </si>
  <si>
    <t xml:space="preserve">Pass %</t>
  </si>
  <si>
    <t xml:space="preserve">Auth</t>
  </si>
  <si>
    <t xml:space="preserve">Employee</t>
  </si>
  <si>
    <t xml:space="preserve">Leave</t>
  </si>
  <si>
    <t xml:space="preserve">Attendance</t>
  </si>
  <si>
    <t xml:space="preserve">Payroll</t>
  </si>
  <si>
    <t xml:space="preserve">Security</t>
  </si>
  <si>
    <t xml:space="preserve">Notes</t>
  </si>
  <si>
    <t xml:space="preserve">Status as of 19-Oct-2026 (project LPMS_v5 + Stage 6 work in progress).</t>
  </si>
  <si>
    <t xml:space="preserve">'Pass' on UT-xx rows = verified by running the JUnit suite in this session: 37 tests, 37 passed, 0 failed.</t>
  </si>
  <si>
    <t xml:space="preserve">Manual rows are 'Not Run' - nobody has executed them yet; set Pass/Fail yourself after testing against a running app + MySQL.</t>
  </si>
  <si>
    <t xml:space="preserve">PAY-xx rows and TC-PAY-004 are Stage 6 (payroll engine) - 'Not Implemented' until the stage is finished and tested.</t>
  </si>
  <si>
    <t xml:space="preserve">Source of manual cases: docs/test-cases.md in the project ZIP (some earlier 'Passed' marks there were for unit tests only).</t>
  </si>
  <si>
    <t xml:space="preserve">Test ID</t>
  </si>
  <si>
    <t xml:space="preserve">Requirement</t>
  </si>
  <si>
    <t xml:space="preserve">Test Scenario</t>
  </si>
  <si>
    <t xml:space="preserve">Expected Result</t>
  </si>
  <si>
    <t xml:space="preserve">Type</t>
  </si>
  <si>
    <t xml:space="preserve">Automated Test (class#method)</t>
  </si>
  <si>
    <t xml:space="preserve">Verification Evidence</t>
  </si>
  <si>
    <t xml:space="preserve">Tester</t>
  </si>
  <si>
    <t xml:space="preserve">Date Tested</t>
  </si>
  <si>
    <t xml:space="preserve">Remarks</t>
  </si>
  <si>
    <t xml:space="preserve">TC-AUTH-001</t>
  </si>
  <si>
    <t xml:space="preserve">FR-AUTH-001</t>
  </si>
  <si>
    <t xml:space="preserve">Valid login credentials</t>
  </si>
  <si>
    <t xml:space="preserve">Access granted, session created, redirect to dashboard</t>
  </si>
  <si>
    <t xml:space="preserve">Manual</t>
  </si>
  <si>
    <t xml:space="preserve">Not verified</t>
  </si>
  <si>
    <t xml:space="preserve">TC-AUTH-002</t>
  </si>
  <si>
    <t xml:space="preserve">Invalid password</t>
  </si>
  <si>
    <t xml:space="preserve">Access denied, 'Invalid username/password' shown</t>
  </si>
  <si>
    <t xml:space="preserve">TC-AUTH-003</t>
  </si>
  <si>
    <t xml:space="preserve">NFR-SEC-001</t>
  </si>
  <si>
    <t xml:space="preserve">Session timeout after 30 mins</t>
  </si>
  <si>
    <t xml:space="preserve">Session invalidated, re-login forced</t>
  </si>
  <si>
    <t xml:space="preserve">TC-EMP-001</t>
  </si>
  <si>
    <t xml:space="preserve">FR-EMP-001</t>
  </si>
  <si>
    <t xml:space="preserve">Add new employee (HR_ADMIN only)</t>
  </si>
  <si>
    <t xml:space="preserve">Record created in database</t>
  </si>
  <si>
    <t xml:space="preserve">TC-EMP-002</t>
  </si>
  <si>
    <t xml:space="preserve">Add employee with invalid email/phone/DOB</t>
  </si>
  <si>
    <t xml:space="preserve">400 with specific validation message, nothing saved</t>
  </si>
  <si>
    <t xml:space="preserve">TC-EMP-003</t>
  </si>
  <si>
    <t xml:space="preserve">FR-EMP-002</t>
  </si>
  <si>
    <t xml:space="preserve">HR edits department, manager, phone</t>
  </si>
  <si>
    <t xml:space="preserve">Row updated, audit_log UPDATE entry written</t>
  </si>
  <si>
    <t xml:space="preserve">TC-EMP-004</t>
  </si>
  <si>
    <t xml:space="preserve">Set reporting manager that creates a loop</t>
  </si>
  <si>
    <t xml:space="preserve">400 'reporting loop'; no change</t>
  </si>
  <si>
    <t xml:space="preserve">TC-EMP-005</t>
  </si>
  <si>
    <t xml:space="preserve">FR-EMP-003</t>
  </si>
  <si>
    <t xml:space="preserve">Search by name/ID/email, filter by dept/status</t>
  </si>
  <si>
    <t xml:space="preserve">Only matching rows; Manager sees only reports</t>
  </si>
  <si>
    <t xml:space="preserve">TC-EMP-006</t>
  </si>
  <si>
    <t xml:space="preserve">FR-EMP-004</t>
  </si>
  <si>
    <t xml:space="preserve">Deactivate employee</t>
  </si>
  <si>
    <t xml:space="preserve">is_active false, status RESIGNED/TERMINATED, exit date set</t>
  </si>
  <si>
    <t xml:space="preserve">TC-EMP-007</t>
  </si>
  <si>
    <t xml:space="preserve">Delete employee with attendance/leave history</t>
  </si>
  <si>
    <t xml:space="preserve">409, record kept; delete only when no history</t>
  </si>
  <si>
    <t xml:space="preserve">TC-EMP-008</t>
  </si>
  <si>
    <t xml:space="preserve">NFR-SEC-002</t>
  </si>
  <si>
    <t xml:space="preserve">MANAGER/EMPLOYEE call POST/PUT/DELETE employees</t>
  </si>
  <si>
    <t xml:space="preserve">403 Forbidden</t>
  </si>
  <si>
    <t xml:space="preserve">TC-LEAVE-001</t>
  </si>
  <si>
    <t xml:space="preserve">FR-LEAVE-001</t>
  </si>
  <si>
    <t xml:space="preserve">Apply leave (Start &lt;= End)</t>
  </si>
  <si>
    <t xml:space="preserve">Submitted, status PENDING</t>
  </si>
  <si>
    <t xml:space="preserve">TC-LEAVE-002</t>
  </si>
  <si>
    <t xml:space="preserve">Apply leave (End &lt; Start)</t>
  </si>
  <si>
    <t xml:space="preserve">Rejected with error message</t>
  </si>
  <si>
    <t xml:space="preserve">TC-LEAVE-003</t>
  </si>
  <si>
    <t xml:space="preserve">FR-LEAVE-002</t>
  </si>
  <si>
    <t xml:space="preserve">Manager approves pending leave</t>
  </si>
  <si>
    <t xml:space="preserve">APPROVED, leave balance updated</t>
  </si>
  <si>
    <t xml:space="preserve">LV-01</t>
  </si>
  <si>
    <t xml:space="preserve">Stage 4</t>
  </si>
  <si>
    <t xml:space="preserve">Employee views per-type entitlement/used/remaining/pending/available</t>
  </si>
  <si>
    <t xml:space="preserve">Balances shown correctly</t>
  </si>
  <si>
    <t xml:space="preserve">LV-02</t>
  </si>
  <si>
    <t xml:space="preserve">Weekend-only range, overlap with PENDING/APPROVED, over-balance</t>
  </si>
  <si>
    <t xml:space="preserve">Each rejected with clear message</t>
  </si>
  <si>
    <t xml:space="preserve">LV-03</t>
  </si>
  <si>
    <t xml:space="preserve">Half-day on multi-date range or on type not allowing half day</t>
  </si>
  <si>
    <t xml:space="preserve">Rejected</t>
  </si>
  <si>
    <t xml:space="preserve">LV-04</t>
  </si>
  <si>
    <t xml:space="preserve">Manager views pending requests; acts on own or non-report request</t>
  </si>
  <si>
    <t xml:space="preserve">Only direct reports (HR sees all); own/non-report -&gt; 403</t>
  </si>
  <si>
    <t xml:space="preserve">LV-05</t>
  </si>
  <si>
    <t xml:space="preserve">Reject without a comment</t>
  </si>
  <si>
    <t xml:space="preserve">Rejected by validation (comment required)</t>
  </si>
  <si>
    <t xml:space="preserve">LV-06</t>
  </si>
  <si>
    <t xml:space="preserve">Cancel pending / future-approved leave</t>
  </si>
  <si>
    <t xml:space="preserve">Balance restored</t>
  </si>
  <si>
    <t xml:space="preserve">LV-07</t>
  </si>
  <si>
    <t xml:space="preserve">Open leave history modal</t>
  </si>
  <si>
    <t xml:space="preserve">SUBMITTED/APPROVED/REJECTED/CANCELLED trail from leave_history</t>
  </si>
  <si>
    <t xml:space="preserve">TC-ATT-001</t>
  </si>
  <si>
    <t xml:space="preserve">FR-ATT-001</t>
  </si>
  <si>
    <t xml:space="preserve">Mark daily attendance</t>
  </si>
  <si>
    <t xml:space="preserve">Attendance record inserted</t>
  </si>
  <si>
    <t xml:space="preserve">ATT-01</t>
  </si>
  <si>
    <t xml:space="preserve">Stage 5</t>
  </si>
  <si>
    <t xml:space="preserve">Employee checks in twice on same day</t>
  </si>
  <si>
    <t xml:space="preserve">2nd rejected (409)</t>
  </si>
  <si>
    <t xml:space="preserve">ATT-02</t>
  </si>
  <si>
    <t xml:space="preserve">Manager records for non-report / HR records for anyone</t>
  </si>
  <si>
    <t xml:space="preserve">403 / allowed</t>
  </si>
  <si>
    <t xml:space="preserve">ATT-03</t>
  </si>
  <si>
    <t xml:space="preserve">Record on weekend, holiday, future date, or full-day approved leave</t>
  </si>
  <si>
    <t xml:space="preserve">Rejected (400/409)</t>
  </si>
  <si>
    <t xml:space="preserve">ATT-04</t>
  </si>
  <si>
    <t xml:space="preserve">CSV import with a duplicate and an unknown employee</t>
  </si>
  <si>
    <t xml:space="preserve">Valid rows imported; failures listed per row</t>
  </si>
  <si>
    <t xml:space="preserve">ATT-05</t>
  </si>
  <si>
    <t xml:space="preserve">Month summary with absent, paid/unpaid leave, half day</t>
  </si>
  <si>
    <t xml:space="preserve">Matches docs/attendance-rules.md</t>
  </si>
  <si>
    <t xml:space="preserve">ATT-06</t>
  </si>
  <si>
    <t xml:space="preserve">Lock month then edit/record in it; unlock</t>
  </si>
  <si>
    <t xml:space="preserve">Rejected (409); unlock restores</t>
  </si>
  <si>
    <t xml:space="preserve">ATT-07</t>
  </si>
  <si>
    <t xml:space="preserve">Change policy MISSING_DAY_TREATMENT=IGNORE</t>
  </si>
  <si>
    <t xml:space="preserve">Summary LOP updates</t>
  </si>
  <si>
    <t xml:space="preserve">UT-01</t>
  </si>
  <si>
    <t xml:space="preserve">Unit</t>
  </si>
  <si>
    <t xml:space="preserve">Payroll/reference paths are HR-only</t>
  </si>
  <si>
    <t xml:space="preserve">Test passes</t>
  </si>
  <si>
    <t xml:space="preserve">Automated (JUnit)</t>
  </si>
  <si>
    <t xml:space="preserve">RoleRulesTest#payrollAndReferenceAreHrOnly</t>
  </si>
  <si>
    <t xml:space="preserve">Verified: JUnit run, 37/37 passed</t>
  </si>
  <si>
    <t xml:space="preserve">UT-02</t>
  </si>
  <si>
    <t xml:space="preserve">Manager paths allow manager and HR</t>
  </si>
  <si>
    <t xml:space="preserve">RoleRulesTest#managerPathsAllowManagerAndHr</t>
  </si>
  <si>
    <t xml:space="preserve">UT-03</t>
  </si>
  <si>
    <t xml:space="preserve">Self-service paths open to all roles</t>
  </si>
  <si>
    <t xml:space="preserve">RoleRulesTest#selfServicePathsOpenToAll</t>
  </si>
  <si>
    <t xml:space="preserve">UT-04</t>
  </si>
  <si>
    <t xml:space="preserve">Flat component returns exact amount (TC-PAY-001)</t>
  </si>
  <si>
    <t xml:space="preserve">PayrollRuleEngineTest#testCalculateFlatComponent</t>
  </si>
  <si>
    <t xml:space="preserve">UT-05</t>
  </si>
  <si>
    <t xml:space="preserve">Percentage component of gross (TC-PAY-002)</t>
  </si>
  <si>
    <t xml:space="preserve">PayrollRuleEngineTest#testCalculatePercentageComponent</t>
  </si>
  <si>
    <t xml:space="preserve">UT-06</t>
  </si>
  <si>
    <t xml:space="preserve">LOP deduction by LOP days (TC-PAY-003)</t>
  </si>
  <si>
    <t xml:space="preserve">PayrollRuleEngineTest#testCalculateLopDeduction</t>
  </si>
  <si>
    <t xml:space="preserve">UT-07</t>
  </si>
  <si>
    <t xml:space="preserve">Defaults used when nothing stored</t>
  </si>
  <si>
    <t xml:space="preserve">AttendancePolicyTest#defaultsApplyWhenNothingStored</t>
  </si>
  <si>
    <t xml:space="preserve">UT-08</t>
  </si>
  <si>
    <t xml:space="preserve">Policy keys/values validated</t>
  </si>
  <si>
    <t xml:space="preserve">AttendancePolicyTest#validatesKeysAndValues</t>
  </si>
  <si>
    <t xml:space="preserve">UT-09</t>
  </si>
  <si>
    <t xml:space="preserve">Invalid stored values fall back</t>
  </si>
  <si>
    <t xml:space="preserve">AttendancePolicyTest#invalidStoredValuesFallBackToDefaults</t>
  </si>
  <si>
    <t xml:space="preserve">UT-10</t>
  </si>
  <si>
    <t xml:space="preserve">Full attendance -&gt; no LOP</t>
  </si>
  <si>
    <t xml:space="preserve">AttendanceRulesTest#fullAttendanceHasNoLop</t>
  </si>
  <si>
    <t xml:space="preserve">UT-11</t>
  </si>
  <si>
    <t xml:space="preserve">Holidays excluded from working days</t>
  </si>
  <si>
    <t xml:space="preserve">AttendanceRulesTest#holidaysAreNotWorkingDays</t>
  </si>
  <si>
    <t xml:space="preserve">UT-12</t>
  </si>
  <si>
    <t xml:space="preserve">Absent/missing days are LOP</t>
  </si>
  <si>
    <t xml:space="preserve">AttendanceRulesTest#absentAndMissingDaysAreLop</t>
  </si>
  <si>
    <t xml:space="preserve">UT-13</t>
  </si>
  <si>
    <t xml:space="preserve">Missing day ignorable by policy</t>
  </si>
  <si>
    <t xml:space="preserve">AttendanceRulesTest#missingDayCanBeIgnoredByPolicy</t>
  </si>
  <si>
    <t xml:space="preserve">UT-14</t>
  </si>
  <si>
    <t xml:space="preserve">Paid leave not LOP, unpaid is</t>
  </si>
  <si>
    <t xml:space="preserve">AttendanceRulesTest#paidLeaveIsNotLopButUnpaidLeaveIs</t>
  </si>
  <si>
    <t xml:space="preserve">UT-15</t>
  </si>
  <si>
    <t xml:space="preserve">Approved leave overrides absent</t>
  </si>
  <si>
    <t xml:space="preserve">AttendanceRulesTest#approvedLeaveOverridesAbsentRecord</t>
  </si>
  <si>
    <t xml:space="preserve">UT-16</t>
  </si>
  <si>
    <t xml:space="preserve">Present on leave day flagged</t>
  </si>
  <si>
    <t xml:space="preserve">AttendanceRulesTest#presentOnLeaveDayIsPresentAndFlagged</t>
  </si>
  <si>
    <t xml:space="preserve">UT-17</t>
  </si>
  <si>
    <t xml:space="preserve">Half-day LOP rules</t>
  </si>
  <si>
    <t xml:space="preserve">AttendanceRulesTest#halfDayRecordLeavesHalfLopUnlessCoveredByHalfLeave</t>
  </si>
  <si>
    <t xml:space="preserve">UT-18</t>
  </si>
  <si>
    <t xml:space="preserve">Half-day leave, no attendance</t>
  </si>
  <si>
    <t xml:space="preserve">AttendanceRulesTest#halfDayLeaveWithNoAttendanceLeavesHalfAbsent</t>
  </si>
  <si>
    <t xml:space="preserve">UT-19</t>
  </si>
  <si>
    <t xml:space="preserve">Today/future pending, not LOP</t>
  </si>
  <si>
    <t xml:space="preserve">AttendanceRulesTest#todayAndFutureDaysArePendingNotLop</t>
  </si>
  <si>
    <t xml:space="preserve">UT-20</t>
  </si>
  <si>
    <t xml:space="preserve">Joining/exit limit working days</t>
  </si>
  <si>
    <t xml:space="preserve">AttendanceRulesTest#joiningAndExitLimitTheWorkingDays</t>
  </si>
  <si>
    <t xml:space="preserve">UT-21</t>
  </si>
  <si>
    <t xml:space="preserve">Late marks -&gt; half-day LOP</t>
  </si>
  <si>
    <t xml:space="preserve">AttendanceRulesTest#lateMarksConvertToHalfDayLopWhenConfigured</t>
  </si>
  <si>
    <t xml:space="preserve">UT-22</t>
  </si>
  <si>
    <t xml:space="preserve">Late rule default/grace</t>
  </si>
  <si>
    <t xml:space="preserve">AttendanceRulesTest#lateRuleDisabledByDefaultAndGraceTimeIsInclusive</t>
  </si>
  <si>
    <t xml:space="preserve">UT-23</t>
  </si>
  <si>
    <t xml:space="preserve">Worked and overtime minutes</t>
  </si>
  <si>
    <t xml:space="preserve">AttendanceRulesTest#workedAndOvertimeMinutes</t>
  </si>
  <si>
    <t xml:space="preserve">UT-24</t>
  </si>
  <si>
    <t xml:space="preserve">Code/name/email/username rules</t>
  </si>
  <si>
    <t xml:space="preserve">EmployeeValidatorTest#codeNameEmailUsername</t>
  </si>
  <si>
    <t xml:space="preserve">UT-25</t>
  </si>
  <si>
    <t xml:space="preserve">Phone optional but validated</t>
  </si>
  <si>
    <t xml:space="preserve">EmployeeValidatorTest#phoneIsOptionalButChecked</t>
  </si>
  <si>
    <t xml:space="preserve">UT-26</t>
  </si>
  <si>
    <t xml:space="preserve">Enums whitelisted</t>
  </si>
  <si>
    <t xml:space="preserve">EmployeeValidatorTest#enumsAreWhitelisted</t>
  </si>
  <si>
    <t xml:space="preserve">UT-27</t>
  </si>
  <si>
    <t xml:space="preserve">Strict date parsing</t>
  </si>
  <si>
    <t xml:space="preserve">EmployeeValidatorTest#parseDateIsStrict</t>
  </si>
  <si>
    <t xml:space="preserve">UT-28</t>
  </si>
  <si>
    <t xml:space="preserve">Date rules</t>
  </si>
  <si>
    <t xml:space="preserve">EmployeeValidatorTest#dateRules</t>
  </si>
  <si>
    <t xml:space="preserve">UT-29</t>
  </si>
  <si>
    <t xml:space="preserve">Leave counts only working days</t>
  </si>
  <si>
    <t xml:space="preserve">LeaveRulesTest#countsOnlyWorkingDays</t>
  </si>
  <si>
    <t xml:space="preserve">UT-30</t>
  </si>
  <si>
    <t xml:space="preserve">Half-day single date only</t>
  </si>
  <si>
    <t xml:space="preserve">LeaveRulesTest#halfDayIsSingleDateOnly</t>
  </si>
  <si>
    <t xml:space="preserve">UT-31</t>
  </si>
  <si>
    <t xml:space="preserve">Invalid ranges rejected</t>
  </si>
  <si>
    <t xml:space="preserve">LeaveRulesTest#rejectsInvalidRanges</t>
  </si>
  <si>
    <t xml:space="preserve">UT-32</t>
  </si>
  <si>
    <t xml:space="preserve">Overlap detected</t>
  </si>
  <si>
    <t xml:space="preserve">LeaveRulesTest#detectsOverlap</t>
  </si>
  <si>
    <t xml:space="preserve">UT-33</t>
  </si>
  <si>
    <t xml:space="preserve">Password policy rules</t>
  </si>
  <si>
    <t xml:space="preserve">SecurityUtilTest#passwordPolicyRules</t>
  </si>
  <si>
    <t xml:space="preserve">UT-34</t>
  </si>
  <si>
    <t xml:space="preserve">Login throttle locks after 5 failures</t>
  </si>
  <si>
    <t xml:space="preserve">SecurityUtilTest#throttleLocksAfterFiveFailuresAndExpires</t>
  </si>
  <si>
    <t xml:space="preserve">UT-35</t>
  </si>
  <si>
    <t xml:space="preserve">Throttle resets on success</t>
  </si>
  <si>
    <t xml:space="preserve">SecurityUtilTest#throttleResetsOnSuccess</t>
  </si>
  <si>
    <t xml:space="preserve">UT-36</t>
  </si>
  <si>
    <t xml:space="preserve">BCrypt hash/verify</t>
  </si>
  <si>
    <t xml:space="preserve">SecurityUtilTest#bcryptHashAndVerify</t>
  </si>
  <si>
    <t xml:space="preserve">UT-37</t>
  </si>
  <si>
    <t xml:space="preserve">Session stamp changes with hash</t>
  </si>
  <si>
    <t xml:space="preserve">SecurityUtilTest#stampChangesWithHash</t>
  </si>
  <si>
    <t xml:space="preserve">TC-PAY-004</t>
  </si>
  <si>
    <t xml:space="preserve">FR-PAY-002</t>
  </si>
  <si>
    <t xml:space="preserve">Run monthly payroll batch</t>
  </si>
  <si>
    <t xml:space="preserve">employee_payroll + payroll_item rows generated</t>
  </si>
  <si>
    <t xml:space="preserve">Stage 6 in progress - not yet integrated/tested</t>
  </si>
  <si>
    <t xml:space="preserve">Old servlet was a mock; real engine being built</t>
  </si>
  <si>
    <t xml:space="preserve">PAY-01</t>
  </si>
  <si>
    <t xml:space="preserve">Stage 6</t>
  </si>
  <si>
    <t xml:space="preserve">Gross = sum of configured earnings (Basic + allowances)</t>
  </si>
  <si>
    <t xml:space="preserve">Gross matches component sum, 2-decimal rounding</t>
  </si>
  <si>
    <t xml:space="preserve">Stage 6 in progress - not verified</t>
  </si>
  <si>
    <t xml:space="preserve">PAY-02</t>
  </si>
  <si>
    <t xml:space="preserve">Percentage components use monthly gross; flat use exact value</t>
  </si>
  <si>
    <t xml:space="preserve">Amounts correct, HALF_UP rounding</t>
  </si>
  <si>
    <t xml:space="preserve">PAY-03</t>
  </si>
  <si>
    <t xml:space="preserve">LOP deduction = gross x LOP days / basis days (working/calendar)</t>
  </si>
  <si>
    <t xml:space="preserve">Single rounding, capped at gross</t>
  </si>
  <si>
    <t xml:space="preserve">PAY-04</t>
  </si>
  <si>
    <t xml:space="preserve">Attendance LOP days read from MySQL feed payroll</t>
  </si>
  <si>
    <t xml:space="preserve">LOP matches attendance summary</t>
  </si>
  <si>
    <t xml:space="preserve">PAY-05</t>
  </si>
  <si>
    <t xml:space="preserve">Mid-month joiner/leaver paid only for employed days</t>
  </si>
  <si>
    <t xml:space="preserve">Extra LOP for non-employed working days</t>
  </si>
  <si>
    <t xml:space="preserve">PAY-06</t>
  </si>
  <si>
    <t xml:space="preserve">PF % applies to PF-applicable earnings, optional wage ceiling</t>
  </si>
  <si>
    <t xml:space="preserve">PF capped when ceiling set</t>
  </si>
  <si>
    <t xml:space="preserve">PAY-07</t>
  </si>
  <si>
    <t xml:space="preserve">Employer contribution stored but not deducted from net</t>
  </si>
  <si>
    <t xml:space="preserve">Net unaffected</t>
  </si>
  <si>
    <t xml:space="preserve">PAY-08</t>
  </si>
  <si>
    <t xml:space="preserve">Tax disabled (default) / no slabs configured</t>
  </si>
  <si>
    <t xml:space="preserve">Tax = 0 with warning, no invented rates</t>
  </si>
  <si>
    <t xml:space="preserve">PAY-09</t>
  </si>
  <si>
    <t xml:space="preserve">Tax enabled with configured slabs, cess, std deduction, rebate</t>
  </si>
  <si>
    <t xml:space="preserve">Progressive tax /12 per month</t>
  </si>
  <si>
    <t xml:space="preserve">PAY-10</t>
  </si>
  <si>
    <t xml:space="preserve">Net = Gross - (LOP + deductions)</t>
  </si>
  <si>
    <t xml:space="preserve">Total deductions and net correct</t>
  </si>
  <si>
    <t xml:space="preserve">PAY-11</t>
  </si>
  <si>
    <t xml:space="preserve">Negative net / negative component / percentage &gt;100 / zero gross</t>
  </si>
  <si>
    <t xml:space="preserve">Employee skipped with reason; no bad data saved</t>
  </si>
  <si>
    <t xml:space="preserve">PAY-12</t>
  </si>
  <si>
    <t xml:space="preserve">Employee without active salary structure</t>
  </si>
  <si>
    <t xml:space="preserve">Skipped and reported</t>
  </si>
  <si>
    <t xml:space="preserve">PAY-13</t>
  </si>
  <si>
    <t xml:space="preserve">Process current/future month</t>
  </si>
  <si>
    <t xml:space="preserve">Rejected (month must have ended)</t>
  </si>
  <si>
    <t xml:space="preserve">PAY-14</t>
  </si>
  <si>
    <t xml:space="preserve">Process month with unlocked attendance (lock required)</t>
  </si>
  <si>
    <t xml:space="preserve">Rejected with clear message</t>
  </si>
  <si>
    <t xml:space="preserve">PAY-15</t>
  </si>
  <si>
    <t xml:space="preserve">Re-process a PROCESSED run</t>
  </si>
  <si>
    <t xml:space="preserve">Replaced atomically, no duplicates</t>
  </si>
  <si>
    <t xml:space="preserve">PAY-16</t>
  </si>
  <si>
    <t xml:space="preserve">Re-process APPROVED/PAID run</t>
  </si>
  <si>
    <t xml:space="preserve">409 rejected</t>
  </si>
  <si>
    <t xml:space="preserve">PAY-17</t>
  </si>
  <si>
    <t xml:space="preserve">Preview payroll without saving</t>
  </si>
  <si>
    <t xml:space="preserve">Results returned, nothing persisted</t>
  </si>
  <si>
    <t xml:space="preserve">PAY-18</t>
  </si>
  <si>
    <t xml:space="preserve">Non-HR user calls payroll APIs</t>
  </si>
  <si>
    <t xml:space="preserve">PAY-19</t>
  </si>
  <si>
    <t xml:space="preserve">Edit payroll configuration with invalid value</t>
  </si>
  <si>
    <t xml:space="preserve">Rejected with message</t>
  </si>
  <si>
    <t xml:space="preserve">PAY-20</t>
  </si>
  <si>
    <t xml:space="preserve">Payroll audit entry written on process</t>
  </si>
  <si>
    <t xml:space="preserve">audit_log row present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</si>
</sst>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4B084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3"/>
    </row>
    <row r="5" customFormat="false" ht="15" hidden="false" customHeight="false" outlineLevel="0" collapsed="false">
      <c r="A5" s="3" t="s">
        <v>5</v>
      </c>
      <c r="B5" s="3" t="n">
        <f aca="false">COUNTIF('Test Cases'!$H$2:$H$88,A5)</f>
        <v>37</v>
      </c>
      <c r="C5" s="5" t="n">
        <f aca="false">IFERROR(B5/$B$10,0)</f>
        <v>0.425287356321839</v>
      </c>
      <c r="D5" s="3"/>
    </row>
    <row r="6" customFormat="false" ht="15" hidden="false" customHeight="false" outlineLevel="0" collapsed="false">
      <c r="A6" s="3" t="s">
        <v>6</v>
      </c>
      <c r="B6" s="3" t="n">
        <f aca="false">COUNTIF('Test Cases'!$H$2:$H$88,A6)</f>
        <v>0</v>
      </c>
      <c r="C6" s="5" t="n">
        <f aca="false">IFERROR(B6/$B$10,0)</f>
        <v>0</v>
      </c>
      <c r="D6" s="3"/>
    </row>
    <row r="7" customFormat="false" ht="15" hidden="false" customHeight="false" outlineLevel="0" collapsed="false">
      <c r="A7" s="3" t="s">
        <v>7</v>
      </c>
      <c r="B7" s="3" t="n">
        <f aca="false">COUNTIF('Test Cases'!$H$2:$H$88,A7)</f>
        <v>0</v>
      </c>
      <c r="C7" s="5" t="n">
        <f aca="false">IFERROR(B7/$B$10,0)</f>
        <v>0</v>
      </c>
      <c r="D7" s="3"/>
    </row>
    <row r="8" customFormat="false" ht="15" hidden="false" customHeight="false" outlineLevel="0" collapsed="false">
      <c r="A8" s="3" t="s">
        <v>8</v>
      </c>
      <c r="B8" s="3" t="n">
        <f aca="false">COUNTIF('Test Cases'!$H$2:$H$88,A8)</f>
        <v>29</v>
      </c>
      <c r="C8" s="5" t="n">
        <f aca="false">IFERROR(B8/$B$10,0)</f>
        <v>0.333333333333333</v>
      </c>
      <c r="D8" s="3"/>
    </row>
    <row r="9" customFormat="false" ht="15" hidden="false" customHeight="false" outlineLevel="0" collapsed="false">
      <c r="A9" s="3" t="s">
        <v>9</v>
      </c>
      <c r="B9" s="3" t="n">
        <f aca="false">COUNTIF('Test Cases'!$H$2:$H$88,A9)</f>
        <v>21</v>
      </c>
      <c r="C9" s="5" t="n">
        <f aca="false">IFERROR(B9/$B$10,0)</f>
        <v>0.241379310344828</v>
      </c>
      <c r="D9" s="3"/>
    </row>
    <row r="10" customFormat="false" ht="15" hidden="false" customHeight="false" outlineLevel="0" collapsed="false">
      <c r="A10" s="3" t="s">
        <v>10</v>
      </c>
      <c r="B10" s="3" t="n">
        <f aca="false">SUM(B5:B9)</f>
        <v>87</v>
      </c>
      <c r="C10" s="5" t="n">
        <f aca="false">SUM(C5:C9)</f>
        <v>1</v>
      </c>
      <c r="D10" s="3"/>
    </row>
    <row r="11" customFormat="false" ht="15" hidden="false" customHeight="false" outlineLevel="0" collapsed="false">
      <c r="A11" s="3"/>
      <c r="B11" s="3"/>
      <c r="C11" s="3"/>
      <c r="D11" s="3"/>
    </row>
    <row r="12" customFormat="false" ht="15" hidden="false" customHeight="false" outlineLevel="0" collapsed="false">
      <c r="A12" s="4" t="s">
        <v>11</v>
      </c>
      <c r="B12" s="4" t="s">
        <v>10</v>
      </c>
      <c r="C12" s="4" t="s">
        <v>5</v>
      </c>
      <c r="D12" s="4" t="s">
        <v>12</v>
      </c>
    </row>
    <row r="13" customFormat="false" ht="15" hidden="false" customHeight="false" outlineLevel="0" collapsed="false">
      <c r="A13" s="3" t="s">
        <v>13</v>
      </c>
      <c r="B13" s="3" t="n">
        <f aca="false">COUNTIF('Test Cases'!$B$2:$B$88,A13)</f>
        <v>3</v>
      </c>
      <c r="C13" s="3" t="n">
        <f aca="false">COUNTIFS('Test Cases'!$B$2:$B$88,A13,'Test Cases'!$H$2:$H$88,"Pass")</f>
        <v>0</v>
      </c>
      <c r="D13" s="6" t="n">
        <f aca="false">IFERROR(C13/B13,0)</f>
        <v>0</v>
      </c>
    </row>
    <row r="14" customFormat="false" ht="15" hidden="false" customHeight="false" outlineLevel="0" collapsed="false">
      <c r="A14" s="3" t="s">
        <v>14</v>
      </c>
      <c r="B14" s="3" t="n">
        <f aca="false">COUNTIF('Test Cases'!$B$2:$B$88,A14)</f>
        <v>13</v>
      </c>
      <c r="C14" s="3" t="n">
        <f aca="false">COUNTIFS('Test Cases'!$B$2:$B$88,A14,'Test Cases'!$H$2:$H$88,"Pass")</f>
        <v>5</v>
      </c>
      <c r="D14" s="6" t="n">
        <f aca="false">IFERROR(C14/B14,0)</f>
        <v>0.384615384615385</v>
      </c>
    </row>
    <row r="15" customFormat="false" ht="15" hidden="false" customHeight="false" outlineLevel="0" collapsed="false">
      <c r="A15" s="3" t="s">
        <v>15</v>
      </c>
      <c r="B15" s="3" t="n">
        <f aca="false">COUNTIF('Test Cases'!$B$2:$B$88,A15)</f>
        <v>14</v>
      </c>
      <c r="C15" s="3" t="n">
        <f aca="false">COUNTIFS('Test Cases'!$B$2:$B$88,A15,'Test Cases'!$H$2:$H$88,"Pass")</f>
        <v>4</v>
      </c>
      <c r="D15" s="6" t="n">
        <f aca="false">IFERROR(C15/B15,0)</f>
        <v>0.285714285714286</v>
      </c>
    </row>
    <row r="16" customFormat="false" ht="15" hidden="false" customHeight="false" outlineLevel="0" collapsed="false">
      <c r="A16" s="3" t="s">
        <v>16</v>
      </c>
      <c r="B16" s="3" t="n">
        <f aca="false">COUNTIF('Test Cases'!$B$2:$B$88,A16)</f>
        <v>25</v>
      </c>
      <c r="C16" s="3" t="n">
        <f aca="false">COUNTIFS('Test Cases'!$B$2:$B$88,A16,'Test Cases'!$H$2:$H$88,"Pass")</f>
        <v>17</v>
      </c>
      <c r="D16" s="6" t="n">
        <f aca="false">IFERROR(C16/B16,0)</f>
        <v>0.68</v>
      </c>
    </row>
    <row r="17" customFormat="false" ht="15" hidden="false" customHeight="false" outlineLevel="0" collapsed="false">
      <c r="A17" s="3" t="s">
        <v>17</v>
      </c>
      <c r="B17" s="3" t="n">
        <f aca="false">COUNTIF('Test Cases'!$B$2:$B$88,A17)</f>
        <v>24</v>
      </c>
      <c r="C17" s="3" t="n">
        <f aca="false">COUNTIFS('Test Cases'!$B$2:$B$88,A17,'Test Cases'!$H$2:$H$88,"Pass")</f>
        <v>3</v>
      </c>
      <c r="D17" s="6" t="n">
        <f aca="false">IFERROR(C17/B17,0)</f>
        <v>0.125</v>
      </c>
    </row>
    <row r="18" customFormat="false" ht="15" hidden="false" customHeight="false" outlineLevel="0" collapsed="false">
      <c r="A18" s="3" t="s">
        <v>18</v>
      </c>
      <c r="B18" s="3" t="n">
        <f aca="false">COUNTIF('Test Cases'!$B$2:$B$88,A18)</f>
        <v>8</v>
      </c>
      <c r="C18" s="3" t="n">
        <f aca="false">COUNTIFS('Test Cases'!$B$2:$B$88,A18,'Test Cases'!$H$2:$H$88,"Pass")</f>
        <v>8</v>
      </c>
      <c r="D18" s="6" t="n">
        <f aca="false">IFERROR(C18/B18,0)</f>
        <v>1</v>
      </c>
    </row>
    <row r="19" customFormat="false" ht="15" hidden="false" customHeight="false" outlineLevel="0" collapsed="false">
      <c r="A19" s="3"/>
      <c r="B19" s="3"/>
      <c r="C19" s="3"/>
      <c r="D19" s="3"/>
    </row>
    <row r="20" customFormat="false" ht="15" hidden="false" customHeight="false" outlineLevel="0" collapsed="false">
      <c r="A20" s="7" t="s">
        <v>19</v>
      </c>
      <c r="B20" s="3"/>
      <c r="C20" s="3"/>
      <c r="D20" s="3"/>
    </row>
    <row r="21" customFormat="false" ht="15" hidden="false" customHeight="false" outlineLevel="0" collapsed="false">
      <c r="A21" s="3" t="s">
        <v>20</v>
      </c>
      <c r="B21" s="3"/>
      <c r="C21" s="3"/>
      <c r="D21" s="3"/>
    </row>
    <row r="22" customFormat="false" ht="15" hidden="false" customHeight="false" outlineLevel="0" collapsed="false">
      <c r="A22" s="3" t="s">
        <v>21</v>
      </c>
      <c r="B22" s="3"/>
      <c r="C22" s="3"/>
      <c r="D22" s="3"/>
    </row>
    <row r="23" customFormat="false" ht="15" hidden="false" customHeight="false" outlineLevel="0" collapsed="false">
      <c r="A23" s="3" t="s">
        <v>22</v>
      </c>
      <c r="B23" s="3"/>
      <c r="C23" s="3"/>
      <c r="D23" s="3"/>
    </row>
    <row r="24" customFormat="false" ht="15" hidden="false" customHeight="false" outlineLevel="0" collapsed="false">
      <c r="A24" s="3" t="s">
        <v>23</v>
      </c>
      <c r="B24" s="3"/>
      <c r="C24" s="3"/>
      <c r="D24" s="3"/>
    </row>
    <row r="25" customFormat="false" ht="15" hidden="false" customHeight="false" outlineLevel="0" collapsed="false">
      <c r="A25" s="3" t="s">
        <v>24</v>
      </c>
      <c r="B25" s="3"/>
      <c r="C25" s="3"/>
      <c r="D2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50"/>
    <col collapsed="false" customWidth="true" hidden="false" outlineLevel="0" max="5" min="5" style="0" width="45"/>
    <col collapsed="false" customWidth="true" hidden="false" outlineLevel="0" max="6" min="6" style="0" width="17"/>
    <col collapsed="false" customWidth="true" hidden="false" outlineLevel="0" max="7" min="7" style="0" width="44"/>
    <col collapsed="false" customWidth="true" hidden="false" outlineLevel="0" max="8" min="8" style="0" width="16"/>
    <col collapsed="false" customWidth="true" hidden="false" outlineLevel="0" max="9" min="9" style="0" width="36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0"/>
  </cols>
  <sheetData>
    <row r="1" customFormat="false" ht="26.85" hidden="false" customHeight="false" outlineLevel="0" collapsed="false">
      <c r="A1" s="8" t="s">
        <v>25</v>
      </c>
      <c r="B1" s="8" t="s">
        <v>11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2</v>
      </c>
      <c r="I1" s="8" t="s">
        <v>31</v>
      </c>
      <c r="J1" s="8" t="s">
        <v>32</v>
      </c>
      <c r="K1" s="8" t="s">
        <v>33</v>
      </c>
      <c r="L1" s="8" t="s">
        <v>34</v>
      </c>
    </row>
    <row r="2" customFormat="false" ht="15" hidden="false" customHeight="false" outlineLevel="0" collapsed="false">
      <c r="A2" s="9" t="s">
        <v>35</v>
      </c>
      <c r="B2" s="9" t="s">
        <v>13</v>
      </c>
      <c r="C2" s="9" t="s">
        <v>36</v>
      </c>
      <c r="D2" s="9" t="s">
        <v>37</v>
      </c>
      <c r="E2" s="9" t="s">
        <v>38</v>
      </c>
      <c r="F2" s="9" t="s">
        <v>39</v>
      </c>
      <c r="G2" s="9"/>
      <c r="H2" s="9" t="s">
        <v>8</v>
      </c>
      <c r="I2" s="9" t="s">
        <v>40</v>
      </c>
      <c r="J2" s="9"/>
      <c r="K2" s="9"/>
      <c r="L2" s="9"/>
    </row>
    <row r="3" customFormat="false" ht="15" hidden="false" customHeight="false" outlineLevel="0" collapsed="false">
      <c r="A3" s="9" t="s">
        <v>41</v>
      </c>
      <c r="B3" s="9" t="s">
        <v>13</v>
      </c>
      <c r="C3" s="9" t="s">
        <v>36</v>
      </c>
      <c r="D3" s="9" t="s">
        <v>42</v>
      </c>
      <c r="E3" s="9" t="s">
        <v>43</v>
      </c>
      <c r="F3" s="9" t="s">
        <v>39</v>
      </c>
      <c r="G3" s="9"/>
      <c r="H3" s="9" t="s">
        <v>8</v>
      </c>
      <c r="I3" s="9" t="s">
        <v>40</v>
      </c>
      <c r="J3" s="9"/>
      <c r="K3" s="9"/>
      <c r="L3" s="9"/>
    </row>
    <row r="4" customFormat="false" ht="15" hidden="false" customHeight="false" outlineLevel="0" collapsed="false">
      <c r="A4" s="9" t="s">
        <v>44</v>
      </c>
      <c r="B4" s="9" t="s">
        <v>13</v>
      </c>
      <c r="C4" s="9" t="s">
        <v>45</v>
      </c>
      <c r="D4" s="9" t="s">
        <v>46</v>
      </c>
      <c r="E4" s="9" t="s">
        <v>47</v>
      </c>
      <c r="F4" s="9" t="s">
        <v>39</v>
      </c>
      <c r="G4" s="9"/>
      <c r="H4" s="9" t="s">
        <v>8</v>
      </c>
      <c r="I4" s="9" t="s">
        <v>40</v>
      </c>
      <c r="J4" s="9"/>
      <c r="K4" s="9"/>
      <c r="L4" s="9"/>
    </row>
    <row r="5" customFormat="false" ht="15" hidden="false" customHeight="false" outlineLevel="0" collapsed="false">
      <c r="A5" s="9" t="s">
        <v>48</v>
      </c>
      <c r="B5" s="9" t="s">
        <v>14</v>
      </c>
      <c r="C5" s="9" t="s">
        <v>49</v>
      </c>
      <c r="D5" s="9" t="s">
        <v>50</v>
      </c>
      <c r="E5" s="9" t="s">
        <v>51</v>
      </c>
      <c r="F5" s="9" t="s">
        <v>39</v>
      </c>
      <c r="G5" s="9"/>
      <c r="H5" s="9" t="s">
        <v>8</v>
      </c>
      <c r="I5" s="9" t="s">
        <v>40</v>
      </c>
      <c r="J5" s="9"/>
      <c r="K5" s="9"/>
      <c r="L5" s="9"/>
    </row>
    <row r="6" customFormat="false" ht="15" hidden="false" customHeight="false" outlineLevel="0" collapsed="false">
      <c r="A6" s="9" t="s">
        <v>52</v>
      </c>
      <c r="B6" s="9" t="s">
        <v>14</v>
      </c>
      <c r="C6" s="9" t="s">
        <v>49</v>
      </c>
      <c r="D6" s="9" t="s">
        <v>53</v>
      </c>
      <c r="E6" s="9" t="s">
        <v>54</v>
      </c>
      <c r="F6" s="9" t="s">
        <v>39</v>
      </c>
      <c r="G6" s="9"/>
      <c r="H6" s="9" t="s">
        <v>8</v>
      </c>
      <c r="I6" s="9" t="s">
        <v>40</v>
      </c>
      <c r="J6" s="9"/>
      <c r="K6" s="9"/>
      <c r="L6" s="9"/>
    </row>
    <row r="7" customFormat="false" ht="15" hidden="false" customHeight="false" outlineLevel="0" collapsed="false">
      <c r="A7" s="9" t="s">
        <v>55</v>
      </c>
      <c r="B7" s="9" t="s">
        <v>14</v>
      </c>
      <c r="C7" s="9" t="s">
        <v>56</v>
      </c>
      <c r="D7" s="9" t="s">
        <v>57</v>
      </c>
      <c r="E7" s="9" t="s">
        <v>58</v>
      </c>
      <c r="F7" s="9" t="s">
        <v>39</v>
      </c>
      <c r="G7" s="9"/>
      <c r="H7" s="9" t="s">
        <v>8</v>
      </c>
      <c r="I7" s="9" t="s">
        <v>40</v>
      </c>
      <c r="J7" s="9"/>
      <c r="K7" s="9"/>
      <c r="L7" s="9"/>
    </row>
    <row r="8" customFormat="false" ht="15" hidden="false" customHeight="false" outlineLevel="0" collapsed="false">
      <c r="A8" s="9" t="s">
        <v>59</v>
      </c>
      <c r="B8" s="9" t="s">
        <v>14</v>
      </c>
      <c r="C8" s="9" t="s">
        <v>56</v>
      </c>
      <c r="D8" s="9" t="s">
        <v>60</v>
      </c>
      <c r="E8" s="9" t="s">
        <v>61</v>
      </c>
      <c r="F8" s="9" t="s">
        <v>39</v>
      </c>
      <c r="G8" s="9"/>
      <c r="H8" s="9" t="s">
        <v>8</v>
      </c>
      <c r="I8" s="9" t="s">
        <v>40</v>
      </c>
      <c r="J8" s="9"/>
      <c r="K8" s="9"/>
      <c r="L8" s="9"/>
    </row>
    <row r="9" customFormat="false" ht="15" hidden="false" customHeight="false" outlineLevel="0" collapsed="false">
      <c r="A9" s="9" t="s">
        <v>62</v>
      </c>
      <c r="B9" s="9" t="s">
        <v>14</v>
      </c>
      <c r="C9" s="9" t="s">
        <v>63</v>
      </c>
      <c r="D9" s="9" t="s">
        <v>64</v>
      </c>
      <c r="E9" s="9" t="s">
        <v>65</v>
      </c>
      <c r="F9" s="9" t="s">
        <v>39</v>
      </c>
      <c r="G9" s="9"/>
      <c r="H9" s="9" t="s">
        <v>8</v>
      </c>
      <c r="I9" s="9" t="s">
        <v>40</v>
      </c>
      <c r="J9" s="9"/>
      <c r="K9" s="9"/>
      <c r="L9" s="9"/>
    </row>
    <row r="10" customFormat="false" ht="23.85" hidden="false" customHeight="false" outlineLevel="0" collapsed="false">
      <c r="A10" s="9" t="s">
        <v>66</v>
      </c>
      <c r="B10" s="9" t="s">
        <v>14</v>
      </c>
      <c r="C10" s="9" t="s">
        <v>67</v>
      </c>
      <c r="D10" s="9" t="s">
        <v>68</v>
      </c>
      <c r="E10" s="9" t="s">
        <v>69</v>
      </c>
      <c r="F10" s="9" t="s">
        <v>39</v>
      </c>
      <c r="G10" s="9"/>
      <c r="H10" s="9" t="s">
        <v>8</v>
      </c>
      <c r="I10" s="9" t="s">
        <v>40</v>
      </c>
      <c r="J10" s="9"/>
      <c r="K10" s="9"/>
      <c r="L10" s="9"/>
    </row>
    <row r="11" customFormat="false" ht="15" hidden="false" customHeight="false" outlineLevel="0" collapsed="false">
      <c r="A11" s="9" t="s">
        <v>70</v>
      </c>
      <c r="B11" s="9" t="s">
        <v>14</v>
      </c>
      <c r="C11" s="9" t="s">
        <v>67</v>
      </c>
      <c r="D11" s="9" t="s">
        <v>71</v>
      </c>
      <c r="E11" s="9" t="s">
        <v>72</v>
      </c>
      <c r="F11" s="9" t="s">
        <v>39</v>
      </c>
      <c r="G11" s="9"/>
      <c r="H11" s="9" t="s">
        <v>8</v>
      </c>
      <c r="I11" s="9" t="s">
        <v>40</v>
      </c>
      <c r="J11" s="9"/>
      <c r="K11" s="9"/>
      <c r="L11" s="9"/>
    </row>
    <row r="12" customFormat="false" ht="15" hidden="false" customHeight="false" outlineLevel="0" collapsed="false">
      <c r="A12" s="9" t="s">
        <v>73</v>
      </c>
      <c r="B12" s="9" t="s">
        <v>14</v>
      </c>
      <c r="C12" s="9" t="s">
        <v>74</v>
      </c>
      <c r="D12" s="9" t="s">
        <v>75</v>
      </c>
      <c r="E12" s="9" t="s">
        <v>76</v>
      </c>
      <c r="F12" s="9" t="s">
        <v>39</v>
      </c>
      <c r="G12" s="9"/>
      <c r="H12" s="9" t="s">
        <v>8</v>
      </c>
      <c r="I12" s="9" t="s">
        <v>40</v>
      </c>
      <c r="J12" s="9"/>
      <c r="K12" s="9"/>
      <c r="L12" s="9"/>
    </row>
    <row r="13" customFormat="false" ht="15" hidden="false" customHeight="false" outlineLevel="0" collapsed="false">
      <c r="A13" s="9" t="s">
        <v>77</v>
      </c>
      <c r="B13" s="9" t="s">
        <v>15</v>
      </c>
      <c r="C13" s="9" t="s">
        <v>78</v>
      </c>
      <c r="D13" s="9" t="s">
        <v>79</v>
      </c>
      <c r="E13" s="9" t="s">
        <v>80</v>
      </c>
      <c r="F13" s="9" t="s">
        <v>39</v>
      </c>
      <c r="G13" s="9"/>
      <c r="H13" s="9" t="s">
        <v>8</v>
      </c>
      <c r="I13" s="9" t="s">
        <v>40</v>
      </c>
      <c r="J13" s="9"/>
      <c r="K13" s="9"/>
      <c r="L13" s="9"/>
    </row>
    <row r="14" customFormat="false" ht="15" hidden="false" customHeight="false" outlineLevel="0" collapsed="false">
      <c r="A14" s="9" t="s">
        <v>81</v>
      </c>
      <c r="B14" s="9" t="s">
        <v>15</v>
      </c>
      <c r="C14" s="9" t="s">
        <v>78</v>
      </c>
      <c r="D14" s="9" t="s">
        <v>82</v>
      </c>
      <c r="E14" s="9" t="s">
        <v>83</v>
      </c>
      <c r="F14" s="9" t="s">
        <v>39</v>
      </c>
      <c r="G14" s="9"/>
      <c r="H14" s="9" t="s">
        <v>8</v>
      </c>
      <c r="I14" s="9" t="s">
        <v>40</v>
      </c>
      <c r="J14" s="9"/>
      <c r="K14" s="9"/>
      <c r="L14" s="9"/>
    </row>
    <row r="15" customFormat="false" ht="15" hidden="false" customHeight="false" outlineLevel="0" collapsed="false">
      <c r="A15" s="9" t="s">
        <v>84</v>
      </c>
      <c r="B15" s="9" t="s">
        <v>15</v>
      </c>
      <c r="C15" s="9" t="s">
        <v>85</v>
      </c>
      <c r="D15" s="9" t="s">
        <v>86</v>
      </c>
      <c r="E15" s="9" t="s">
        <v>87</v>
      </c>
      <c r="F15" s="9" t="s">
        <v>39</v>
      </c>
      <c r="G15" s="9"/>
      <c r="H15" s="9" t="s">
        <v>8</v>
      </c>
      <c r="I15" s="9" t="s">
        <v>40</v>
      </c>
      <c r="J15" s="9"/>
      <c r="K15" s="9"/>
      <c r="L15" s="9"/>
    </row>
    <row r="16" customFormat="false" ht="23.85" hidden="false" customHeight="false" outlineLevel="0" collapsed="false">
      <c r="A16" s="9" t="s">
        <v>88</v>
      </c>
      <c r="B16" s="9" t="s">
        <v>15</v>
      </c>
      <c r="C16" s="9" t="s">
        <v>89</v>
      </c>
      <c r="D16" s="9" t="s">
        <v>90</v>
      </c>
      <c r="E16" s="9" t="s">
        <v>91</v>
      </c>
      <c r="F16" s="9" t="s">
        <v>39</v>
      </c>
      <c r="G16" s="9"/>
      <c r="H16" s="9" t="s">
        <v>8</v>
      </c>
      <c r="I16" s="9" t="s">
        <v>40</v>
      </c>
      <c r="J16" s="9"/>
      <c r="K16" s="9"/>
      <c r="L16" s="9"/>
    </row>
    <row r="17" customFormat="false" ht="23.85" hidden="false" customHeight="false" outlineLevel="0" collapsed="false">
      <c r="A17" s="9" t="s">
        <v>92</v>
      </c>
      <c r="B17" s="9" t="s">
        <v>15</v>
      </c>
      <c r="C17" s="9" t="s">
        <v>89</v>
      </c>
      <c r="D17" s="9" t="s">
        <v>93</v>
      </c>
      <c r="E17" s="9" t="s">
        <v>94</v>
      </c>
      <c r="F17" s="9" t="s">
        <v>39</v>
      </c>
      <c r="G17" s="9"/>
      <c r="H17" s="9" t="s">
        <v>8</v>
      </c>
      <c r="I17" s="9" t="s">
        <v>40</v>
      </c>
      <c r="J17" s="9"/>
      <c r="K17" s="9"/>
      <c r="L17" s="9"/>
    </row>
    <row r="18" customFormat="false" ht="15" hidden="false" customHeight="false" outlineLevel="0" collapsed="false">
      <c r="A18" s="9" t="s">
        <v>95</v>
      </c>
      <c r="B18" s="9" t="s">
        <v>15</v>
      </c>
      <c r="C18" s="9" t="s">
        <v>89</v>
      </c>
      <c r="D18" s="9" t="s">
        <v>96</v>
      </c>
      <c r="E18" s="9" t="s">
        <v>97</v>
      </c>
      <c r="F18" s="9" t="s">
        <v>39</v>
      </c>
      <c r="G18" s="9"/>
      <c r="H18" s="9" t="s">
        <v>8</v>
      </c>
      <c r="I18" s="9" t="s">
        <v>40</v>
      </c>
      <c r="J18" s="9"/>
      <c r="K18" s="9"/>
      <c r="L18" s="9"/>
    </row>
    <row r="19" customFormat="false" ht="23.85" hidden="false" customHeight="false" outlineLevel="0" collapsed="false">
      <c r="A19" s="9" t="s">
        <v>98</v>
      </c>
      <c r="B19" s="9" t="s">
        <v>15</v>
      </c>
      <c r="C19" s="9" t="s">
        <v>89</v>
      </c>
      <c r="D19" s="9" t="s">
        <v>99</v>
      </c>
      <c r="E19" s="9" t="s">
        <v>100</v>
      </c>
      <c r="F19" s="9" t="s">
        <v>39</v>
      </c>
      <c r="G19" s="9"/>
      <c r="H19" s="9" t="s">
        <v>8</v>
      </c>
      <c r="I19" s="9" t="s">
        <v>40</v>
      </c>
      <c r="J19" s="9"/>
      <c r="K19" s="9"/>
      <c r="L19" s="9"/>
    </row>
    <row r="20" customFormat="false" ht="15" hidden="false" customHeight="false" outlineLevel="0" collapsed="false">
      <c r="A20" s="9" t="s">
        <v>101</v>
      </c>
      <c r="B20" s="9" t="s">
        <v>15</v>
      </c>
      <c r="C20" s="9" t="s">
        <v>89</v>
      </c>
      <c r="D20" s="9" t="s">
        <v>102</v>
      </c>
      <c r="E20" s="9" t="s">
        <v>103</v>
      </c>
      <c r="F20" s="9" t="s">
        <v>39</v>
      </c>
      <c r="G20" s="9"/>
      <c r="H20" s="9" t="s">
        <v>8</v>
      </c>
      <c r="I20" s="9" t="s">
        <v>40</v>
      </c>
      <c r="J20" s="9"/>
      <c r="K20" s="9"/>
      <c r="L20" s="9"/>
    </row>
    <row r="21" customFormat="false" ht="15" hidden="false" customHeight="false" outlineLevel="0" collapsed="false">
      <c r="A21" s="9" t="s">
        <v>104</v>
      </c>
      <c r="B21" s="9" t="s">
        <v>15</v>
      </c>
      <c r="C21" s="9" t="s">
        <v>89</v>
      </c>
      <c r="D21" s="9" t="s">
        <v>105</v>
      </c>
      <c r="E21" s="9" t="s">
        <v>106</v>
      </c>
      <c r="F21" s="9" t="s">
        <v>39</v>
      </c>
      <c r="G21" s="9"/>
      <c r="H21" s="9" t="s">
        <v>8</v>
      </c>
      <c r="I21" s="9" t="s">
        <v>40</v>
      </c>
      <c r="J21" s="9"/>
      <c r="K21" s="9"/>
      <c r="L21" s="9"/>
    </row>
    <row r="22" customFormat="false" ht="23.85" hidden="false" customHeight="false" outlineLevel="0" collapsed="false">
      <c r="A22" s="9" t="s">
        <v>107</v>
      </c>
      <c r="B22" s="9" t="s">
        <v>15</v>
      </c>
      <c r="C22" s="9" t="s">
        <v>89</v>
      </c>
      <c r="D22" s="9" t="s">
        <v>108</v>
      </c>
      <c r="E22" s="9" t="s">
        <v>109</v>
      </c>
      <c r="F22" s="9" t="s">
        <v>39</v>
      </c>
      <c r="G22" s="9"/>
      <c r="H22" s="9" t="s">
        <v>8</v>
      </c>
      <c r="I22" s="9" t="s">
        <v>40</v>
      </c>
      <c r="J22" s="9"/>
      <c r="K22" s="9"/>
      <c r="L22" s="9"/>
    </row>
    <row r="23" customFormat="false" ht="15" hidden="false" customHeight="false" outlineLevel="0" collapsed="false">
      <c r="A23" s="9" t="s">
        <v>110</v>
      </c>
      <c r="B23" s="9" t="s">
        <v>16</v>
      </c>
      <c r="C23" s="9" t="s">
        <v>111</v>
      </c>
      <c r="D23" s="9" t="s">
        <v>112</v>
      </c>
      <c r="E23" s="9" t="s">
        <v>113</v>
      </c>
      <c r="F23" s="9" t="s">
        <v>39</v>
      </c>
      <c r="G23" s="9"/>
      <c r="H23" s="9" t="s">
        <v>8</v>
      </c>
      <c r="I23" s="9" t="s">
        <v>40</v>
      </c>
      <c r="J23" s="9"/>
      <c r="K23" s="9"/>
      <c r="L23" s="9"/>
    </row>
    <row r="24" customFormat="false" ht="15" hidden="false" customHeight="false" outlineLevel="0" collapsed="false">
      <c r="A24" s="9" t="s">
        <v>114</v>
      </c>
      <c r="B24" s="9" t="s">
        <v>16</v>
      </c>
      <c r="C24" s="9" t="s">
        <v>115</v>
      </c>
      <c r="D24" s="9" t="s">
        <v>116</v>
      </c>
      <c r="E24" s="9" t="s">
        <v>117</v>
      </c>
      <c r="F24" s="9" t="s">
        <v>39</v>
      </c>
      <c r="G24" s="9"/>
      <c r="H24" s="9" t="s">
        <v>8</v>
      </c>
      <c r="I24" s="9" t="s">
        <v>40</v>
      </c>
      <c r="J24" s="9"/>
      <c r="K24" s="9"/>
      <c r="L24" s="9"/>
    </row>
    <row r="25" customFormat="false" ht="15" hidden="false" customHeight="false" outlineLevel="0" collapsed="false">
      <c r="A25" s="9" t="s">
        <v>118</v>
      </c>
      <c r="B25" s="9" t="s">
        <v>16</v>
      </c>
      <c r="C25" s="9" t="s">
        <v>115</v>
      </c>
      <c r="D25" s="9" t="s">
        <v>119</v>
      </c>
      <c r="E25" s="9" t="s">
        <v>120</v>
      </c>
      <c r="F25" s="9" t="s">
        <v>39</v>
      </c>
      <c r="G25" s="9"/>
      <c r="H25" s="9" t="s">
        <v>8</v>
      </c>
      <c r="I25" s="9" t="s">
        <v>40</v>
      </c>
      <c r="J25" s="9"/>
      <c r="K25" s="9"/>
      <c r="L25" s="9"/>
    </row>
    <row r="26" customFormat="false" ht="23.85" hidden="false" customHeight="false" outlineLevel="0" collapsed="false">
      <c r="A26" s="9" t="s">
        <v>121</v>
      </c>
      <c r="B26" s="9" t="s">
        <v>16</v>
      </c>
      <c r="C26" s="9" t="s">
        <v>115</v>
      </c>
      <c r="D26" s="9" t="s">
        <v>122</v>
      </c>
      <c r="E26" s="9" t="s">
        <v>123</v>
      </c>
      <c r="F26" s="9" t="s">
        <v>39</v>
      </c>
      <c r="G26" s="9"/>
      <c r="H26" s="9" t="s">
        <v>8</v>
      </c>
      <c r="I26" s="9" t="s">
        <v>40</v>
      </c>
      <c r="J26" s="9"/>
      <c r="K26" s="9"/>
      <c r="L26" s="9"/>
    </row>
    <row r="27" customFormat="false" ht="15" hidden="false" customHeight="false" outlineLevel="0" collapsed="false">
      <c r="A27" s="9" t="s">
        <v>124</v>
      </c>
      <c r="B27" s="9" t="s">
        <v>16</v>
      </c>
      <c r="C27" s="9" t="s">
        <v>115</v>
      </c>
      <c r="D27" s="9" t="s">
        <v>125</v>
      </c>
      <c r="E27" s="9" t="s">
        <v>126</v>
      </c>
      <c r="F27" s="9" t="s">
        <v>39</v>
      </c>
      <c r="G27" s="9"/>
      <c r="H27" s="9" t="s">
        <v>8</v>
      </c>
      <c r="I27" s="9" t="s">
        <v>40</v>
      </c>
      <c r="J27" s="9"/>
      <c r="K27" s="9"/>
      <c r="L27" s="9"/>
    </row>
    <row r="28" customFormat="false" ht="15" hidden="false" customHeight="false" outlineLevel="0" collapsed="false">
      <c r="A28" s="9" t="s">
        <v>127</v>
      </c>
      <c r="B28" s="9" t="s">
        <v>16</v>
      </c>
      <c r="C28" s="9" t="s">
        <v>115</v>
      </c>
      <c r="D28" s="9" t="s">
        <v>128</v>
      </c>
      <c r="E28" s="9" t="s">
        <v>129</v>
      </c>
      <c r="F28" s="9" t="s">
        <v>39</v>
      </c>
      <c r="G28" s="9"/>
      <c r="H28" s="9" t="s">
        <v>8</v>
      </c>
      <c r="I28" s="9" t="s">
        <v>40</v>
      </c>
      <c r="J28" s="9"/>
      <c r="K28" s="9"/>
      <c r="L28" s="9"/>
    </row>
    <row r="29" customFormat="false" ht="15" hidden="false" customHeight="false" outlineLevel="0" collapsed="false">
      <c r="A29" s="9" t="s">
        <v>130</v>
      </c>
      <c r="B29" s="9" t="s">
        <v>16</v>
      </c>
      <c r="C29" s="9" t="s">
        <v>115</v>
      </c>
      <c r="D29" s="9" t="s">
        <v>131</v>
      </c>
      <c r="E29" s="9" t="s">
        <v>132</v>
      </c>
      <c r="F29" s="9" t="s">
        <v>39</v>
      </c>
      <c r="G29" s="9"/>
      <c r="H29" s="9" t="s">
        <v>8</v>
      </c>
      <c r="I29" s="9" t="s">
        <v>40</v>
      </c>
      <c r="J29" s="9"/>
      <c r="K29" s="9"/>
      <c r="L29" s="9"/>
    </row>
    <row r="30" customFormat="false" ht="15" hidden="false" customHeight="false" outlineLevel="0" collapsed="false">
      <c r="A30" s="9" t="s">
        <v>133</v>
      </c>
      <c r="B30" s="9" t="s">
        <v>16</v>
      </c>
      <c r="C30" s="9" t="s">
        <v>115</v>
      </c>
      <c r="D30" s="9" t="s">
        <v>134</v>
      </c>
      <c r="E30" s="9" t="s">
        <v>135</v>
      </c>
      <c r="F30" s="9" t="s">
        <v>39</v>
      </c>
      <c r="G30" s="9"/>
      <c r="H30" s="9" t="s">
        <v>8</v>
      </c>
      <c r="I30" s="9" t="s">
        <v>40</v>
      </c>
      <c r="J30" s="9"/>
      <c r="K30" s="9"/>
      <c r="L30" s="9"/>
    </row>
    <row r="31" customFormat="false" ht="15" hidden="false" customHeight="false" outlineLevel="0" collapsed="false">
      <c r="A31" s="9" t="s">
        <v>136</v>
      </c>
      <c r="B31" s="9" t="s">
        <v>18</v>
      </c>
      <c r="C31" s="9" t="s">
        <v>137</v>
      </c>
      <c r="D31" s="9" t="s">
        <v>138</v>
      </c>
      <c r="E31" s="9" t="s">
        <v>139</v>
      </c>
      <c r="F31" s="9" t="s">
        <v>140</v>
      </c>
      <c r="G31" s="9" t="s">
        <v>141</v>
      </c>
      <c r="H31" s="9" t="s">
        <v>5</v>
      </c>
      <c r="I31" s="9" t="s">
        <v>142</v>
      </c>
      <c r="J31" s="9"/>
      <c r="K31" s="9"/>
      <c r="L31" s="9"/>
    </row>
    <row r="32" customFormat="false" ht="15" hidden="false" customHeight="false" outlineLevel="0" collapsed="false">
      <c r="A32" s="9" t="s">
        <v>143</v>
      </c>
      <c r="B32" s="9" t="s">
        <v>18</v>
      </c>
      <c r="C32" s="9" t="s">
        <v>137</v>
      </c>
      <c r="D32" s="9" t="s">
        <v>144</v>
      </c>
      <c r="E32" s="9" t="s">
        <v>139</v>
      </c>
      <c r="F32" s="9" t="s">
        <v>140</v>
      </c>
      <c r="G32" s="9" t="s">
        <v>145</v>
      </c>
      <c r="H32" s="9" t="s">
        <v>5</v>
      </c>
      <c r="I32" s="9" t="s">
        <v>142</v>
      </c>
      <c r="J32" s="9"/>
      <c r="K32" s="9"/>
      <c r="L32" s="9"/>
    </row>
    <row r="33" customFormat="false" ht="15" hidden="false" customHeight="false" outlineLevel="0" collapsed="false">
      <c r="A33" s="9" t="s">
        <v>146</v>
      </c>
      <c r="B33" s="9" t="s">
        <v>18</v>
      </c>
      <c r="C33" s="9" t="s">
        <v>137</v>
      </c>
      <c r="D33" s="9" t="s">
        <v>147</v>
      </c>
      <c r="E33" s="9" t="s">
        <v>139</v>
      </c>
      <c r="F33" s="9" t="s">
        <v>140</v>
      </c>
      <c r="G33" s="9" t="s">
        <v>148</v>
      </c>
      <c r="H33" s="9" t="s">
        <v>5</v>
      </c>
      <c r="I33" s="9" t="s">
        <v>142</v>
      </c>
      <c r="J33" s="9"/>
      <c r="K33" s="9"/>
      <c r="L33" s="9"/>
    </row>
    <row r="34" customFormat="false" ht="15" hidden="false" customHeight="false" outlineLevel="0" collapsed="false">
      <c r="A34" s="9" t="s">
        <v>149</v>
      </c>
      <c r="B34" s="9" t="s">
        <v>17</v>
      </c>
      <c r="C34" s="9" t="s">
        <v>137</v>
      </c>
      <c r="D34" s="9" t="s">
        <v>150</v>
      </c>
      <c r="E34" s="9" t="s">
        <v>139</v>
      </c>
      <c r="F34" s="9" t="s">
        <v>140</v>
      </c>
      <c r="G34" s="9" t="s">
        <v>151</v>
      </c>
      <c r="H34" s="9" t="s">
        <v>5</v>
      </c>
      <c r="I34" s="9" t="s">
        <v>142</v>
      </c>
      <c r="J34" s="9"/>
      <c r="K34" s="9"/>
      <c r="L34" s="9"/>
    </row>
    <row r="35" customFormat="false" ht="23.85" hidden="false" customHeight="false" outlineLevel="0" collapsed="false">
      <c r="A35" s="9" t="s">
        <v>152</v>
      </c>
      <c r="B35" s="9" t="s">
        <v>17</v>
      </c>
      <c r="C35" s="9" t="s">
        <v>137</v>
      </c>
      <c r="D35" s="9" t="s">
        <v>153</v>
      </c>
      <c r="E35" s="9" t="s">
        <v>139</v>
      </c>
      <c r="F35" s="9" t="s">
        <v>140</v>
      </c>
      <c r="G35" s="9" t="s">
        <v>154</v>
      </c>
      <c r="H35" s="9" t="s">
        <v>5</v>
      </c>
      <c r="I35" s="9" t="s">
        <v>142</v>
      </c>
      <c r="J35" s="9"/>
      <c r="K35" s="9"/>
      <c r="L35" s="9"/>
    </row>
    <row r="36" customFormat="false" ht="15" hidden="false" customHeight="false" outlineLevel="0" collapsed="false">
      <c r="A36" s="9" t="s">
        <v>155</v>
      </c>
      <c r="B36" s="9" t="s">
        <v>17</v>
      </c>
      <c r="C36" s="9" t="s">
        <v>137</v>
      </c>
      <c r="D36" s="9" t="s">
        <v>156</v>
      </c>
      <c r="E36" s="9" t="s">
        <v>139</v>
      </c>
      <c r="F36" s="9" t="s">
        <v>140</v>
      </c>
      <c r="G36" s="9" t="s">
        <v>157</v>
      </c>
      <c r="H36" s="9" t="s">
        <v>5</v>
      </c>
      <c r="I36" s="9" t="s">
        <v>142</v>
      </c>
      <c r="J36" s="9"/>
      <c r="K36" s="9"/>
      <c r="L36" s="9"/>
    </row>
    <row r="37" customFormat="false" ht="23.85" hidden="false" customHeight="false" outlineLevel="0" collapsed="false">
      <c r="A37" s="9" t="s">
        <v>158</v>
      </c>
      <c r="B37" s="9" t="s">
        <v>16</v>
      </c>
      <c r="C37" s="9" t="s">
        <v>137</v>
      </c>
      <c r="D37" s="9" t="s">
        <v>159</v>
      </c>
      <c r="E37" s="9" t="s">
        <v>139</v>
      </c>
      <c r="F37" s="9" t="s">
        <v>140</v>
      </c>
      <c r="G37" s="9" t="s">
        <v>160</v>
      </c>
      <c r="H37" s="9" t="s">
        <v>5</v>
      </c>
      <c r="I37" s="9" t="s">
        <v>142</v>
      </c>
      <c r="J37" s="9"/>
      <c r="K37" s="9"/>
      <c r="L37" s="9"/>
    </row>
    <row r="38" customFormat="false" ht="15" hidden="false" customHeight="false" outlineLevel="0" collapsed="false">
      <c r="A38" s="9" t="s">
        <v>161</v>
      </c>
      <c r="B38" s="9" t="s">
        <v>16</v>
      </c>
      <c r="C38" s="9" t="s">
        <v>137</v>
      </c>
      <c r="D38" s="9" t="s">
        <v>162</v>
      </c>
      <c r="E38" s="9" t="s">
        <v>139</v>
      </c>
      <c r="F38" s="9" t="s">
        <v>140</v>
      </c>
      <c r="G38" s="9" t="s">
        <v>163</v>
      </c>
      <c r="H38" s="9" t="s">
        <v>5</v>
      </c>
      <c r="I38" s="9" t="s">
        <v>142</v>
      </c>
      <c r="J38" s="9"/>
      <c r="K38" s="9"/>
      <c r="L38" s="9"/>
    </row>
    <row r="39" customFormat="false" ht="23.85" hidden="false" customHeight="false" outlineLevel="0" collapsed="false">
      <c r="A39" s="9" t="s">
        <v>164</v>
      </c>
      <c r="B39" s="9" t="s">
        <v>16</v>
      </c>
      <c r="C39" s="9" t="s">
        <v>137</v>
      </c>
      <c r="D39" s="9" t="s">
        <v>165</v>
      </c>
      <c r="E39" s="9" t="s">
        <v>139</v>
      </c>
      <c r="F39" s="9" t="s">
        <v>140</v>
      </c>
      <c r="G39" s="9" t="s">
        <v>166</v>
      </c>
      <c r="H39" s="9" t="s">
        <v>5</v>
      </c>
      <c r="I39" s="9" t="s">
        <v>142</v>
      </c>
      <c r="J39" s="9"/>
      <c r="K39" s="9"/>
      <c r="L39" s="9"/>
    </row>
    <row r="40" customFormat="false" ht="15" hidden="false" customHeight="false" outlineLevel="0" collapsed="false">
      <c r="A40" s="9" t="s">
        <v>167</v>
      </c>
      <c r="B40" s="9" t="s">
        <v>16</v>
      </c>
      <c r="C40" s="9" t="s">
        <v>137</v>
      </c>
      <c r="D40" s="9" t="s">
        <v>168</v>
      </c>
      <c r="E40" s="9" t="s">
        <v>139</v>
      </c>
      <c r="F40" s="9" t="s">
        <v>140</v>
      </c>
      <c r="G40" s="9" t="s">
        <v>169</v>
      </c>
      <c r="H40" s="9" t="s">
        <v>5</v>
      </c>
      <c r="I40" s="9" t="s">
        <v>142</v>
      </c>
      <c r="J40" s="9"/>
      <c r="K40" s="9"/>
      <c r="L40" s="9"/>
    </row>
    <row r="41" customFormat="false" ht="15" hidden="false" customHeight="false" outlineLevel="0" collapsed="false">
      <c r="A41" s="9" t="s">
        <v>170</v>
      </c>
      <c r="B41" s="9" t="s">
        <v>16</v>
      </c>
      <c r="C41" s="9" t="s">
        <v>137</v>
      </c>
      <c r="D41" s="9" t="s">
        <v>171</v>
      </c>
      <c r="E41" s="9" t="s">
        <v>139</v>
      </c>
      <c r="F41" s="9" t="s">
        <v>140</v>
      </c>
      <c r="G41" s="9" t="s">
        <v>172</v>
      </c>
      <c r="H41" s="9" t="s">
        <v>5</v>
      </c>
      <c r="I41" s="9" t="s">
        <v>142</v>
      </c>
      <c r="J41" s="9"/>
      <c r="K41" s="9"/>
      <c r="L41" s="9"/>
    </row>
    <row r="42" customFormat="false" ht="15" hidden="false" customHeight="false" outlineLevel="0" collapsed="false">
      <c r="A42" s="9" t="s">
        <v>173</v>
      </c>
      <c r="B42" s="9" t="s">
        <v>16</v>
      </c>
      <c r="C42" s="9" t="s">
        <v>137</v>
      </c>
      <c r="D42" s="9" t="s">
        <v>174</v>
      </c>
      <c r="E42" s="9" t="s">
        <v>139</v>
      </c>
      <c r="F42" s="9" t="s">
        <v>140</v>
      </c>
      <c r="G42" s="9" t="s">
        <v>175</v>
      </c>
      <c r="H42" s="9" t="s">
        <v>5</v>
      </c>
      <c r="I42" s="9" t="s">
        <v>142</v>
      </c>
      <c r="J42" s="9"/>
      <c r="K42" s="9"/>
      <c r="L42" s="9"/>
    </row>
    <row r="43" customFormat="false" ht="23.85" hidden="false" customHeight="false" outlineLevel="0" collapsed="false">
      <c r="A43" s="9" t="s">
        <v>176</v>
      </c>
      <c r="B43" s="9" t="s">
        <v>16</v>
      </c>
      <c r="C43" s="9" t="s">
        <v>137</v>
      </c>
      <c r="D43" s="9" t="s">
        <v>177</v>
      </c>
      <c r="E43" s="9" t="s">
        <v>139</v>
      </c>
      <c r="F43" s="9" t="s">
        <v>140</v>
      </c>
      <c r="G43" s="9" t="s">
        <v>178</v>
      </c>
      <c r="H43" s="9" t="s">
        <v>5</v>
      </c>
      <c r="I43" s="9" t="s">
        <v>142</v>
      </c>
      <c r="J43" s="9"/>
      <c r="K43" s="9"/>
      <c r="L43" s="9"/>
    </row>
    <row r="44" customFormat="false" ht="23.85" hidden="false" customHeight="false" outlineLevel="0" collapsed="false">
      <c r="A44" s="9" t="s">
        <v>179</v>
      </c>
      <c r="B44" s="9" t="s">
        <v>16</v>
      </c>
      <c r="C44" s="9" t="s">
        <v>137</v>
      </c>
      <c r="D44" s="9" t="s">
        <v>180</v>
      </c>
      <c r="E44" s="9" t="s">
        <v>139</v>
      </c>
      <c r="F44" s="9" t="s">
        <v>140</v>
      </c>
      <c r="G44" s="9" t="s">
        <v>181</v>
      </c>
      <c r="H44" s="9" t="s">
        <v>5</v>
      </c>
      <c r="I44" s="9" t="s">
        <v>142</v>
      </c>
      <c r="J44" s="9"/>
      <c r="K44" s="9"/>
      <c r="L44" s="9"/>
    </row>
    <row r="45" customFormat="false" ht="23.85" hidden="false" customHeight="false" outlineLevel="0" collapsed="false">
      <c r="A45" s="9" t="s">
        <v>182</v>
      </c>
      <c r="B45" s="9" t="s">
        <v>16</v>
      </c>
      <c r="C45" s="9" t="s">
        <v>137</v>
      </c>
      <c r="D45" s="9" t="s">
        <v>183</v>
      </c>
      <c r="E45" s="9" t="s">
        <v>139</v>
      </c>
      <c r="F45" s="9" t="s">
        <v>140</v>
      </c>
      <c r="G45" s="9" t="s">
        <v>184</v>
      </c>
      <c r="H45" s="9" t="s">
        <v>5</v>
      </c>
      <c r="I45" s="9" t="s">
        <v>142</v>
      </c>
      <c r="J45" s="9"/>
      <c r="K45" s="9"/>
      <c r="L45" s="9"/>
    </row>
    <row r="46" customFormat="false" ht="23.85" hidden="false" customHeight="false" outlineLevel="0" collapsed="false">
      <c r="A46" s="9" t="s">
        <v>185</v>
      </c>
      <c r="B46" s="9" t="s">
        <v>16</v>
      </c>
      <c r="C46" s="9" t="s">
        <v>137</v>
      </c>
      <c r="D46" s="9" t="s">
        <v>186</v>
      </c>
      <c r="E46" s="9" t="s">
        <v>139</v>
      </c>
      <c r="F46" s="9" t="s">
        <v>140</v>
      </c>
      <c r="G46" s="9" t="s">
        <v>187</v>
      </c>
      <c r="H46" s="9" t="s">
        <v>5</v>
      </c>
      <c r="I46" s="9" t="s">
        <v>142</v>
      </c>
      <c r="J46" s="9"/>
      <c r="K46" s="9"/>
      <c r="L46" s="9"/>
    </row>
    <row r="47" customFormat="false" ht="23.85" hidden="false" customHeight="false" outlineLevel="0" collapsed="false">
      <c r="A47" s="9" t="s">
        <v>188</v>
      </c>
      <c r="B47" s="9" t="s">
        <v>16</v>
      </c>
      <c r="C47" s="9" t="s">
        <v>137</v>
      </c>
      <c r="D47" s="9" t="s">
        <v>189</v>
      </c>
      <c r="E47" s="9" t="s">
        <v>139</v>
      </c>
      <c r="F47" s="9" t="s">
        <v>140</v>
      </c>
      <c r="G47" s="9" t="s">
        <v>190</v>
      </c>
      <c r="H47" s="9" t="s">
        <v>5</v>
      </c>
      <c r="I47" s="9" t="s">
        <v>142</v>
      </c>
      <c r="J47" s="9"/>
      <c r="K47" s="9"/>
      <c r="L47" s="9"/>
    </row>
    <row r="48" customFormat="false" ht="23.85" hidden="false" customHeight="false" outlineLevel="0" collapsed="false">
      <c r="A48" s="9" t="s">
        <v>191</v>
      </c>
      <c r="B48" s="9" t="s">
        <v>16</v>
      </c>
      <c r="C48" s="9" t="s">
        <v>137</v>
      </c>
      <c r="D48" s="9" t="s">
        <v>192</v>
      </c>
      <c r="E48" s="9" t="s">
        <v>139</v>
      </c>
      <c r="F48" s="9" t="s">
        <v>140</v>
      </c>
      <c r="G48" s="9" t="s">
        <v>193</v>
      </c>
      <c r="H48" s="9" t="s">
        <v>5</v>
      </c>
      <c r="I48" s="9" t="s">
        <v>142</v>
      </c>
      <c r="J48" s="9"/>
      <c r="K48" s="9"/>
      <c r="L48" s="9"/>
    </row>
    <row r="49" customFormat="false" ht="23.85" hidden="false" customHeight="false" outlineLevel="0" collapsed="false">
      <c r="A49" s="9" t="s">
        <v>194</v>
      </c>
      <c r="B49" s="9" t="s">
        <v>16</v>
      </c>
      <c r="C49" s="9" t="s">
        <v>137</v>
      </c>
      <c r="D49" s="9" t="s">
        <v>195</v>
      </c>
      <c r="E49" s="9" t="s">
        <v>139</v>
      </c>
      <c r="F49" s="9" t="s">
        <v>140</v>
      </c>
      <c r="G49" s="9" t="s">
        <v>196</v>
      </c>
      <c r="H49" s="9" t="s">
        <v>5</v>
      </c>
      <c r="I49" s="9" t="s">
        <v>142</v>
      </c>
      <c r="J49" s="9"/>
      <c r="K49" s="9"/>
      <c r="L49" s="9"/>
    </row>
    <row r="50" customFormat="false" ht="23.85" hidden="false" customHeight="false" outlineLevel="0" collapsed="false">
      <c r="A50" s="9" t="s">
        <v>197</v>
      </c>
      <c r="B50" s="9" t="s">
        <v>16</v>
      </c>
      <c r="C50" s="9" t="s">
        <v>137</v>
      </c>
      <c r="D50" s="9" t="s">
        <v>198</v>
      </c>
      <c r="E50" s="9" t="s">
        <v>139</v>
      </c>
      <c r="F50" s="9" t="s">
        <v>140</v>
      </c>
      <c r="G50" s="9" t="s">
        <v>199</v>
      </c>
      <c r="H50" s="9" t="s">
        <v>5</v>
      </c>
      <c r="I50" s="9" t="s">
        <v>142</v>
      </c>
      <c r="J50" s="9"/>
      <c r="K50" s="9"/>
      <c r="L50" s="9"/>
    </row>
    <row r="51" customFormat="false" ht="23.85" hidden="false" customHeight="false" outlineLevel="0" collapsed="false">
      <c r="A51" s="9" t="s">
        <v>200</v>
      </c>
      <c r="B51" s="9" t="s">
        <v>16</v>
      </c>
      <c r="C51" s="9" t="s">
        <v>137</v>
      </c>
      <c r="D51" s="9" t="s">
        <v>201</v>
      </c>
      <c r="E51" s="9" t="s">
        <v>139</v>
      </c>
      <c r="F51" s="9" t="s">
        <v>140</v>
      </c>
      <c r="G51" s="9" t="s">
        <v>202</v>
      </c>
      <c r="H51" s="9" t="s">
        <v>5</v>
      </c>
      <c r="I51" s="9" t="s">
        <v>142</v>
      </c>
      <c r="J51" s="9"/>
      <c r="K51" s="9"/>
      <c r="L51" s="9"/>
    </row>
    <row r="52" customFormat="false" ht="23.85" hidden="false" customHeight="false" outlineLevel="0" collapsed="false">
      <c r="A52" s="9" t="s">
        <v>203</v>
      </c>
      <c r="B52" s="9" t="s">
        <v>16</v>
      </c>
      <c r="C52" s="9" t="s">
        <v>137</v>
      </c>
      <c r="D52" s="9" t="s">
        <v>204</v>
      </c>
      <c r="E52" s="9" t="s">
        <v>139</v>
      </c>
      <c r="F52" s="9" t="s">
        <v>140</v>
      </c>
      <c r="G52" s="9" t="s">
        <v>205</v>
      </c>
      <c r="H52" s="9" t="s">
        <v>5</v>
      </c>
      <c r="I52" s="9" t="s">
        <v>142</v>
      </c>
      <c r="J52" s="9"/>
      <c r="K52" s="9"/>
      <c r="L52" s="9"/>
    </row>
    <row r="53" customFormat="false" ht="15" hidden="false" customHeight="false" outlineLevel="0" collapsed="false">
      <c r="A53" s="9" t="s">
        <v>206</v>
      </c>
      <c r="B53" s="9" t="s">
        <v>16</v>
      </c>
      <c r="C53" s="9" t="s">
        <v>137</v>
      </c>
      <c r="D53" s="9" t="s">
        <v>207</v>
      </c>
      <c r="E53" s="9" t="s">
        <v>139</v>
      </c>
      <c r="F53" s="9" t="s">
        <v>140</v>
      </c>
      <c r="G53" s="9" t="s">
        <v>208</v>
      </c>
      <c r="H53" s="9" t="s">
        <v>5</v>
      </c>
      <c r="I53" s="9" t="s">
        <v>142</v>
      </c>
      <c r="J53" s="9"/>
      <c r="K53" s="9"/>
      <c r="L53" s="9"/>
    </row>
    <row r="54" customFormat="false" ht="15" hidden="false" customHeight="false" outlineLevel="0" collapsed="false">
      <c r="A54" s="9" t="s">
        <v>209</v>
      </c>
      <c r="B54" s="9" t="s">
        <v>14</v>
      </c>
      <c r="C54" s="9" t="s">
        <v>137</v>
      </c>
      <c r="D54" s="9" t="s">
        <v>210</v>
      </c>
      <c r="E54" s="9" t="s">
        <v>139</v>
      </c>
      <c r="F54" s="9" t="s">
        <v>140</v>
      </c>
      <c r="G54" s="9" t="s">
        <v>211</v>
      </c>
      <c r="H54" s="9" t="s">
        <v>5</v>
      </c>
      <c r="I54" s="9" t="s">
        <v>142</v>
      </c>
      <c r="J54" s="9"/>
      <c r="K54" s="9"/>
      <c r="L54" s="9"/>
    </row>
    <row r="55" customFormat="false" ht="15" hidden="false" customHeight="false" outlineLevel="0" collapsed="false">
      <c r="A55" s="9" t="s">
        <v>212</v>
      </c>
      <c r="B55" s="9" t="s">
        <v>14</v>
      </c>
      <c r="C55" s="9" t="s">
        <v>137</v>
      </c>
      <c r="D55" s="9" t="s">
        <v>213</v>
      </c>
      <c r="E55" s="9" t="s">
        <v>139</v>
      </c>
      <c r="F55" s="9" t="s">
        <v>140</v>
      </c>
      <c r="G55" s="9" t="s">
        <v>214</v>
      </c>
      <c r="H55" s="9" t="s">
        <v>5</v>
      </c>
      <c r="I55" s="9" t="s">
        <v>142</v>
      </c>
      <c r="J55" s="9"/>
      <c r="K55" s="9"/>
      <c r="L55" s="9"/>
    </row>
    <row r="56" customFormat="false" ht="15" hidden="false" customHeight="false" outlineLevel="0" collapsed="false">
      <c r="A56" s="9" t="s">
        <v>215</v>
      </c>
      <c r="B56" s="9" t="s">
        <v>14</v>
      </c>
      <c r="C56" s="9" t="s">
        <v>137</v>
      </c>
      <c r="D56" s="9" t="s">
        <v>216</v>
      </c>
      <c r="E56" s="9" t="s">
        <v>139</v>
      </c>
      <c r="F56" s="9" t="s">
        <v>140</v>
      </c>
      <c r="G56" s="9" t="s">
        <v>217</v>
      </c>
      <c r="H56" s="9" t="s">
        <v>5</v>
      </c>
      <c r="I56" s="9" t="s">
        <v>142</v>
      </c>
      <c r="J56" s="9"/>
      <c r="K56" s="9"/>
      <c r="L56" s="9"/>
    </row>
    <row r="57" customFormat="false" ht="15" hidden="false" customHeight="false" outlineLevel="0" collapsed="false">
      <c r="A57" s="9" t="s">
        <v>218</v>
      </c>
      <c r="B57" s="9" t="s">
        <v>14</v>
      </c>
      <c r="C57" s="9" t="s">
        <v>137</v>
      </c>
      <c r="D57" s="9" t="s">
        <v>219</v>
      </c>
      <c r="E57" s="9" t="s">
        <v>139</v>
      </c>
      <c r="F57" s="9" t="s">
        <v>140</v>
      </c>
      <c r="G57" s="9" t="s">
        <v>220</v>
      </c>
      <c r="H57" s="9" t="s">
        <v>5</v>
      </c>
      <c r="I57" s="9" t="s">
        <v>142</v>
      </c>
      <c r="J57" s="9"/>
      <c r="K57" s="9"/>
      <c r="L57" s="9"/>
    </row>
    <row r="58" customFormat="false" ht="15" hidden="false" customHeight="false" outlineLevel="0" collapsed="false">
      <c r="A58" s="9" t="s">
        <v>221</v>
      </c>
      <c r="B58" s="9" t="s">
        <v>14</v>
      </c>
      <c r="C58" s="9" t="s">
        <v>137</v>
      </c>
      <c r="D58" s="9" t="s">
        <v>222</v>
      </c>
      <c r="E58" s="9" t="s">
        <v>139</v>
      </c>
      <c r="F58" s="9" t="s">
        <v>140</v>
      </c>
      <c r="G58" s="9" t="s">
        <v>223</v>
      </c>
      <c r="H58" s="9" t="s">
        <v>5</v>
      </c>
      <c r="I58" s="9" t="s">
        <v>142</v>
      </c>
      <c r="J58" s="9"/>
      <c r="K58" s="9"/>
      <c r="L58" s="9"/>
    </row>
    <row r="59" customFormat="false" ht="15" hidden="false" customHeight="false" outlineLevel="0" collapsed="false">
      <c r="A59" s="9" t="s">
        <v>224</v>
      </c>
      <c r="B59" s="9" t="s">
        <v>15</v>
      </c>
      <c r="C59" s="9" t="s">
        <v>137</v>
      </c>
      <c r="D59" s="9" t="s">
        <v>225</v>
      </c>
      <c r="E59" s="9" t="s">
        <v>139</v>
      </c>
      <c r="F59" s="9" t="s">
        <v>140</v>
      </c>
      <c r="G59" s="9" t="s">
        <v>226</v>
      </c>
      <c r="H59" s="9" t="s">
        <v>5</v>
      </c>
      <c r="I59" s="9" t="s">
        <v>142</v>
      </c>
      <c r="J59" s="9"/>
      <c r="K59" s="9"/>
      <c r="L59" s="9"/>
    </row>
    <row r="60" customFormat="false" ht="15" hidden="false" customHeight="false" outlineLevel="0" collapsed="false">
      <c r="A60" s="9" t="s">
        <v>227</v>
      </c>
      <c r="B60" s="9" t="s">
        <v>15</v>
      </c>
      <c r="C60" s="9" t="s">
        <v>137</v>
      </c>
      <c r="D60" s="9" t="s">
        <v>228</v>
      </c>
      <c r="E60" s="9" t="s">
        <v>139</v>
      </c>
      <c r="F60" s="9" t="s">
        <v>140</v>
      </c>
      <c r="G60" s="9" t="s">
        <v>229</v>
      </c>
      <c r="H60" s="9" t="s">
        <v>5</v>
      </c>
      <c r="I60" s="9" t="s">
        <v>142</v>
      </c>
      <c r="J60" s="9"/>
      <c r="K60" s="9"/>
      <c r="L60" s="9"/>
    </row>
    <row r="61" customFormat="false" ht="15" hidden="false" customHeight="false" outlineLevel="0" collapsed="false">
      <c r="A61" s="9" t="s">
        <v>230</v>
      </c>
      <c r="B61" s="9" t="s">
        <v>15</v>
      </c>
      <c r="C61" s="9" t="s">
        <v>137</v>
      </c>
      <c r="D61" s="9" t="s">
        <v>231</v>
      </c>
      <c r="E61" s="9" t="s">
        <v>139</v>
      </c>
      <c r="F61" s="9" t="s">
        <v>140</v>
      </c>
      <c r="G61" s="9" t="s">
        <v>232</v>
      </c>
      <c r="H61" s="9" t="s">
        <v>5</v>
      </c>
      <c r="I61" s="9" t="s">
        <v>142</v>
      </c>
      <c r="J61" s="9"/>
      <c r="K61" s="9"/>
      <c r="L61" s="9"/>
    </row>
    <row r="62" customFormat="false" ht="15" hidden="false" customHeight="false" outlineLevel="0" collapsed="false">
      <c r="A62" s="9" t="s">
        <v>233</v>
      </c>
      <c r="B62" s="9" t="s">
        <v>15</v>
      </c>
      <c r="C62" s="9" t="s">
        <v>137</v>
      </c>
      <c r="D62" s="9" t="s">
        <v>234</v>
      </c>
      <c r="E62" s="9" t="s">
        <v>139</v>
      </c>
      <c r="F62" s="9" t="s">
        <v>140</v>
      </c>
      <c r="G62" s="9" t="s">
        <v>235</v>
      </c>
      <c r="H62" s="9" t="s">
        <v>5</v>
      </c>
      <c r="I62" s="9" t="s">
        <v>142</v>
      </c>
      <c r="J62" s="9"/>
      <c r="K62" s="9"/>
      <c r="L62" s="9"/>
    </row>
    <row r="63" customFormat="false" ht="15" hidden="false" customHeight="false" outlineLevel="0" collapsed="false">
      <c r="A63" s="9" t="s">
        <v>236</v>
      </c>
      <c r="B63" s="9" t="s">
        <v>18</v>
      </c>
      <c r="C63" s="9" t="s">
        <v>137</v>
      </c>
      <c r="D63" s="9" t="s">
        <v>237</v>
      </c>
      <c r="E63" s="9" t="s">
        <v>139</v>
      </c>
      <c r="F63" s="9" t="s">
        <v>140</v>
      </c>
      <c r="G63" s="9" t="s">
        <v>238</v>
      </c>
      <c r="H63" s="9" t="s">
        <v>5</v>
      </c>
      <c r="I63" s="9" t="s">
        <v>142</v>
      </c>
      <c r="J63" s="9"/>
      <c r="K63" s="9"/>
      <c r="L63" s="9"/>
    </row>
    <row r="64" customFormat="false" ht="23.85" hidden="false" customHeight="false" outlineLevel="0" collapsed="false">
      <c r="A64" s="9" t="s">
        <v>239</v>
      </c>
      <c r="B64" s="9" t="s">
        <v>18</v>
      </c>
      <c r="C64" s="9" t="s">
        <v>137</v>
      </c>
      <c r="D64" s="9" t="s">
        <v>240</v>
      </c>
      <c r="E64" s="9" t="s">
        <v>139</v>
      </c>
      <c r="F64" s="9" t="s">
        <v>140</v>
      </c>
      <c r="G64" s="9" t="s">
        <v>241</v>
      </c>
      <c r="H64" s="9" t="s">
        <v>5</v>
      </c>
      <c r="I64" s="9" t="s">
        <v>142</v>
      </c>
      <c r="J64" s="9"/>
      <c r="K64" s="9"/>
      <c r="L64" s="9"/>
    </row>
    <row r="65" customFormat="false" ht="15" hidden="false" customHeight="false" outlineLevel="0" collapsed="false">
      <c r="A65" s="9" t="s">
        <v>242</v>
      </c>
      <c r="B65" s="9" t="s">
        <v>18</v>
      </c>
      <c r="C65" s="9" t="s">
        <v>137</v>
      </c>
      <c r="D65" s="9" t="s">
        <v>243</v>
      </c>
      <c r="E65" s="9" t="s">
        <v>139</v>
      </c>
      <c r="F65" s="9" t="s">
        <v>140</v>
      </c>
      <c r="G65" s="9" t="s">
        <v>244</v>
      </c>
      <c r="H65" s="9" t="s">
        <v>5</v>
      </c>
      <c r="I65" s="9" t="s">
        <v>142</v>
      </c>
      <c r="J65" s="9"/>
      <c r="K65" s="9"/>
      <c r="L65" s="9"/>
    </row>
    <row r="66" customFormat="false" ht="15" hidden="false" customHeight="false" outlineLevel="0" collapsed="false">
      <c r="A66" s="9" t="s">
        <v>245</v>
      </c>
      <c r="B66" s="9" t="s">
        <v>18</v>
      </c>
      <c r="C66" s="9" t="s">
        <v>137</v>
      </c>
      <c r="D66" s="9" t="s">
        <v>246</v>
      </c>
      <c r="E66" s="9" t="s">
        <v>139</v>
      </c>
      <c r="F66" s="9" t="s">
        <v>140</v>
      </c>
      <c r="G66" s="9" t="s">
        <v>247</v>
      </c>
      <c r="H66" s="9" t="s">
        <v>5</v>
      </c>
      <c r="I66" s="9" t="s">
        <v>142</v>
      </c>
      <c r="J66" s="9"/>
      <c r="K66" s="9"/>
      <c r="L66" s="9"/>
    </row>
    <row r="67" customFormat="false" ht="15" hidden="false" customHeight="false" outlineLevel="0" collapsed="false">
      <c r="A67" s="9" t="s">
        <v>248</v>
      </c>
      <c r="B67" s="9" t="s">
        <v>18</v>
      </c>
      <c r="C67" s="9" t="s">
        <v>137</v>
      </c>
      <c r="D67" s="9" t="s">
        <v>249</v>
      </c>
      <c r="E67" s="9" t="s">
        <v>139</v>
      </c>
      <c r="F67" s="9" t="s">
        <v>140</v>
      </c>
      <c r="G67" s="9" t="s">
        <v>250</v>
      </c>
      <c r="H67" s="9" t="s">
        <v>5</v>
      </c>
      <c r="I67" s="9" t="s">
        <v>142</v>
      </c>
      <c r="J67" s="9"/>
      <c r="K67" s="9"/>
      <c r="L67" s="9"/>
    </row>
    <row r="68" customFormat="false" ht="23.85" hidden="false" customHeight="false" outlineLevel="0" collapsed="false">
      <c r="A68" s="9" t="s">
        <v>251</v>
      </c>
      <c r="B68" s="9" t="s">
        <v>17</v>
      </c>
      <c r="C68" s="9" t="s">
        <v>252</v>
      </c>
      <c r="D68" s="9" t="s">
        <v>253</v>
      </c>
      <c r="E68" s="9" t="s">
        <v>254</v>
      </c>
      <c r="F68" s="9" t="s">
        <v>39</v>
      </c>
      <c r="G68" s="9"/>
      <c r="H68" s="9" t="s">
        <v>9</v>
      </c>
      <c r="I68" s="9" t="s">
        <v>255</v>
      </c>
      <c r="J68" s="9"/>
      <c r="K68" s="9"/>
      <c r="L68" s="9" t="s">
        <v>256</v>
      </c>
    </row>
    <row r="69" customFormat="false" ht="15" hidden="false" customHeight="false" outlineLevel="0" collapsed="false">
      <c r="A69" s="9" t="s">
        <v>257</v>
      </c>
      <c r="B69" s="9" t="s">
        <v>17</v>
      </c>
      <c r="C69" s="9" t="s">
        <v>258</v>
      </c>
      <c r="D69" s="9" t="s">
        <v>259</v>
      </c>
      <c r="E69" s="9" t="s">
        <v>260</v>
      </c>
      <c r="F69" s="9" t="s">
        <v>39</v>
      </c>
      <c r="G69" s="9"/>
      <c r="H69" s="9" t="s">
        <v>9</v>
      </c>
      <c r="I69" s="9" t="s">
        <v>261</v>
      </c>
      <c r="J69" s="9"/>
      <c r="K69" s="9"/>
      <c r="L69" s="9"/>
    </row>
    <row r="70" customFormat="false" ht="23.85" hidden="false" customHeight="false" outlineLevel="0" collapsed="false">
      <c r="A70" s="9" t="s">
        <v>262</v>
      </c>
      <c r="B70" s="9" t="s">
        <v>17</v>
      </c>
      <c r="C70" s="9" t="s">
        <v>258</v>
      </c>
      <c r="D70" s="9" t="s">
        <v>263</v>
      </c>
      <c r="E70" s="9" t="s">
        <v>264</v>
      </c>
      <c r="F70" s="9" t="s">
        <v>39</v>
      </c>
      <c r="G70" s="9"/>
      <c r="H70" s="9" t="s">
        <v>9</v>
      </c>
      <c r="I70" s="9" t="s">
        <v>261</v>
      </c>
      <c r="J70" s="9"/>
      <c r="K70" s="9"/>
      <c r="L70" s="9"/>
    </row>
    <row r="71" customFormat="false" ht="23.85" hidden="false" customHeight="false" outlineLevel="0" collapsed="false">
      <c r="A71" s="9" t="s">
        <v>265</v>
      </c>
      <c r="B71" s="9" t="s">
        <v>17</v>
      </c>
      <c r="C71" s="9" t="s">
        <v>258</v>
      </c>
      <c r="D71" s="9" t="s">
        <v>266</v>
      </c>
      <c r="E71" s="9" t="s">
        <v>267</v>
      </c>
      <c r="F71" s="9" t="s">
        <v>39</v>
      </c>
      <c r="G71" s="9"/>
      <c r="H71" s="9" t="s">
        <v>9</v>
      </c>
      <c r="I71" s="9" t="s">
        <v>261</v>
      </c>
      <c r="J71" s="9"/>
      <c r="K71" s="9"/>
      <c r="L71" s="9"/>
    </row>
    <row r="72" customFormat="false" ht="15" hidden="false" customHeight="false" outlineLevel="0" collapsed="false">
      <c r="A72" s="9" t="s">
        <v>268</v>
      </c>
      <c r="B72" s="9" t="s">
        <v>17</v>
      </c>
      <c r="C72" s="9" t="s">
        <v>258</v>
      </c>
      <c r="D72" s="9" t="s">
        <v>269</v>
      </c>
      <c r="E72" s="9" t="s">
        <v>270</v>
      </c>
      <c r="F72" s="9" t="s">
        <v>39</v>
      </c>
      <c r="G72" s="9"/>
      <c r="H72" s="9" t="s">
        <v>9</v>
      </c>
      <c r="I72" s="9" t="s">
        <v>261</v>
      </c>
      <c r="J72" s="9"/>
      <c r="K72" s="9"/>
      <c r="L72" s="9"/>
    </row>
    <row r="73" customFormat="false" ht="15" hidden="false" customHeight="false" outlineLevel="0" collapsed="false">
      <c r="A73" s="9" t="s">
        <v>271</v>
      </c>
      <c r="B73" s="9" t="s">
        <v>17</v>
      </c>
      <c r="C73" s="9" t="s">
        <v>258</v>
      </c>
      <c r="D73" s="9" t="s">
        <v>272</v>
      </c>
      <c r="E73" s="9" t="s">
        <v>273</v>
      </c>
      <c r="F73" s="9" t="s">
        <v>39</v>
      </c>
      <c r="G73" s="9"/>
      <c r="H73" s="9" t="s">
        <v>9</v>
      </c>
      <c r="I73" s="9" t="s">
        <v>261</v>
      </c>
      <c r="J73" s="9"/>
      <c r="K73" s="9"/>
      <c r="L73" s="9"/>
    </row>
    <row r="74" customFormat="false" ht="15" hidden="false" customHeight="false" outlineLevel="0" collapsed="false">
      <c r="A74" s="9" t="s">
        <v>274</v>
      </c>
      <c r="B74" s="9" t="s">
        <v>17</v>
      </c>
      <c r="C74" s="9" t="s">
        <v>258</v>
      </c>
      <c r="D74" s="9" t="s">
        <v>275</v>
      </c>
      <c r="E74" s="9" t="s">
        <v>276</v>
      </c>
      <c r="F74" s="9" t="s">
        <v>39</v>
      </c>
      <c r="G74" s="9"/>
      <c r="H74" s="9" t="s">
        <v>9</v>
      </c>
      <c r="I74" s="9" t="s">
        <v>261</v>
      </c>
      <c r="J74" s="9"/>
      <c r="K74" s="9"/>
      <c r="L74" s="9"/>
    </row>
    <row r="75" customFormat="false" ht="15" hidden="false" customHeight="false" outlineLevel="0" collapsed="false">
      <c r="A75" s="9" t="s">
        <v>277</v>
      </c>
      <c r="B75" s="9" t="s">
        <v>17</v>
      </c>
      <c r="C75" s="9" t="s">
        <v>258</v>
      </c>
      <c r="D75" s="9" t="s">
        <v>278</v>
      </c>
      <c r="E75" s="9" t="s">
        <v>279</v>
      </c>
      <c r="F75" s="9" t="s">
        <v>39</v>
      </c>
      <c r="G75" s="9"/>
      <c r="H75" s="9" t="s">
        <v>9</v>
      </c>
      <c r="I75" s="9" t="s">
        <v>261</v>
      </c>
      <c r="J75" s="9"/>
      <c r="K75" s="9"/>
      <c r="L75" s="9"/>
    </row>
    <row r="76" customFormat="false" ht="15" hidden="false" customHeight="false" outlineLevel="0" collapsed="false">
      <c r="A76" s="9" t="s">
        <v>280</v>
      </c>
      <c r="B76" s="9" t="s">
        <v>17</v>
      </c>
      <c r="C76" s="9" t="s">
        <v>258</v>
      </c>
      <c r="D76" s="9" t="s">
        <v>281</v>
      </c>
      <c r="E76" s="9" t="s">
        <v>282</v>
      </c>
      <c r="F76" s="9" t="s">
        <v>39</v>
      </c>
      <c r="G76" s="9"/>
      <c r="H76" s="9" t="s">
        <v>9</v>
      </c>
      <c r="I76" s="9" t="s">
        <v>261</v>
      </c>
      <c r="J76" s="9"/>
      <c r="K76" s="9"/>
      <c r="L76" s="9"/>
    </row>
    <row r="77" customFormat="false" ht="23.85" hidden="false" customHeight="false" outlineLevel="0" collapsed="false">
      <c r="A77" s="9" t="s">
        <v>283</v>
      </c>
      <c r="B77" s="9" t="s">
        <v>17</v>
      </c>
      <c r="C77" s="9" t="s">
        <v>258</v>
      </c>
      <c r="D77" s="9" t="s">
        <v>284</v>
      </c>
      <c r="E77" s="9" t="s">
        <v>285</v>
      </c>
      <c r="F77" s="9" t="s">
        <v>39</v>
      </c>
      <c r="G77" s="9"/>
      <c r="H77" s="9" t="s">
        <v>9</v>
      </c>
      <c r="I77" s="9" t="s">
        <v>261</v>
      </c>
      <c r="J77" s="9"/>
      <c r="K77" s="9"/>
      <c r="L77" s="9"/>
    </row>
    <row r="78" customFormat="false" ht="15" hidden="false" customHeight="false" outlineLevel="0" collapsed="false">
      <c r="A78" s="9" t="s">
        <v>286</v>
      </c>
      <c r="B78" s="9" t="s">
        <v>17</v>
      </c>
      <c r="C78" s="9" t="s">
        <v>258</v>
      </c>
      <c r="D78" s="9" t="s">
        <v>287</v>
      </c>
      <c r="E78" s="9" t="s">
        <v>288</v>
      </c>
      <c r="F78" s="9" t="s">
        <v>39</v>
      </c>
      <c r="G78" s="9"/>
      <c r="H78" s="9" t="s">
        <v>9</v>
      </c>
      <c r="I78" s="9" t="s">
        <v>261</v>
      </c>
      <c r="J78" s="9"/>
      <c r="K78" s="9"/>
      <c r="L78" s="9"/>
    </row>
    <row r="79" customFormat="false" ht="23.85" hidden="false" customHeight="false" outlineLevel="0" collapsed="false">
      <c r="A79" s="9" t="s">
        <v>289</v>
      </c>
      <c r="B79" s="9" t="s">
        <v>17</v>
      </c>
      <c r="C79" s="9" t="s">
        <v>258</v>
      </c>
      <c r="D79" s="9" t="s">
        <v>290</v>
      </c>
      <c r="E79" s="9" t="s">
        <v>291</v>
      </c>
      <c r="F79" s="9" t="s">
        <v>39</v>
      </c>
      <c r="G79" s="9"/>
      <c r="H79" s="9" t="s">
        <v>9</v>
      </c>
      <c r="I79" s="9" t="s">
        <v>261</v>
      </c>
      <c r="J79" s="9"/>
      <c r="K79" s="9"/>
      <c r="L79" s="9"/>
    </row>
    <row r="80" customFormat="false" ht="15" hidden="false" customHeight="false" outlineLevel="0" collapsed="false">
      <c r="A80" s="9" t="s">
        <v>292</v>
      </c>
      <c r="B80" s="9" t="s">
        <v>17</v>
      </c>
      <c r="C80" s="9" t="s">
        <v>258</v>
      </c>
      <c r="D80" s="9" t="s">
        <v>293</v>
      </c>
      <c r="E80" s="9" t="s">
        <v>294</v>
      </c>
      <c r="F80" s="9" t="s">
        <v>39</v>
      </c>
      <c r="G80" s="9"/>
      <c r="H80" s="9" t="s">
        <v>9</v>
      </c>
      <c r="I80" s="9" t="s">
        <v>261</v>
      </c>
      <c r="J80" s="9"/>
      <c r="K80" s="9"/>
      <c r="L80" s="9"/>
    </row>
    <row r="81" customFormat="false" ht="15" hidden="false" customHeight="false" outlineLevel="0" collapsed="false">
      <c r="A81" s="9" t="s">
        <v>295</v>
      </c>
      <c r="B81" s="9" t="s">
        <v>17</v>
      </c>
      <c r="C81" s="9" t="s">
        <v>258</v>
      </c>
      <c r="D81" s="9" t="s">
        <v>296</v>
      </c>
      <c r="E81" s="9" t="s">
        <v>297</v>
      </c>
      <c r="F81" s="9" t="s">
        <v>39</v>
      </c>
      <c r="G81" s="9"/>
      <c r="H81" s="9" t="s">
        <v>9</v>
      </c>
      <c r="I81" s="9" t="s">
        <v>261</v>
      </c>
      <c r="J81" s="9"/>
      <c r="K81" s="9"/>
      <c r="L81" s="9"/>
    </row>
    <row r="82" customFormat="false" ht="15" hidden="false" customHeight="false" outlineLevel="0" collapsed="false">
      <c r="A82" s="9" t="s">
        <v>298</v>
      </c>
      <c r="B82" s="9" t="s">
        <v>17</v>
      </c>
      <c r="C82" s="9" t="s">
        <v>258</v>
      </c>
      <c r="D82" s="9" t="s">
        <v>299</v>
      </c>
      <c r="E82" s="9" t="s">
        <v>300</v>
      </c>
      <c r="F82" s="9" t="s">
        <v>39</v>
      </c>
      <c r="G82" s="9"/>
      <c r="H82" s="9" t="s">
        <v>9</v>
      </c>
      <c r="I82" s="9" t="s">
        <v>261</v>
      </c>
      <c r="J82" s="9"/>
      <c r="K82" s="9"/>
      <c r="L82" s="9"/>
    </row>
    <row r="83" customFormat="false" ht="15" hidden="false" customHeight="false" outlineLevel="0" collapsed="false">
      <c r="A83" s="9" t="s">
        <v>301</v>
      </c>
      <c r="B83" s="9" t="s">
        <v>17</v>
      </c>
      <c r="C83" s="9" t="s">
        <v>258</v>
      </c>
      <c r="D83" s="9" t="s">
        <v>302</v>
      </c>
      <c r="E83" s="9" t="s">
        <v>303</v>
      </c>
      <c r="F83" s="9" t="s">
        <v>39</v>
      </c>
      <c r="G83" s="9"/>
      <c r="H83" s="9" t="s">
        <v>9</v>
      </c>
      <c r="I83" s="9" t="s">
        <v>261</v>
      </c>
      <c r="J83" s="9"/>
      <c r="K83" s="9"/>
      <c r="L83" s="9"/>
    </row>
    <row r="84" customFormat="false" ht="15" hidden="false" customHeight="false" outlineLevel="0" collapsed="false">
      <c r="A84" s="9" t="s">
        <v>304</v>
      </c>
      <c r="B84" s="9" t="s">
        <v>17</v>
      </c>
      <c r="C84" s="9" t="s">
        <v>258</v>
      </c>
      <c r="D84" s="9" t="s">
        <v>305</v>
      </c>
      <c r="E84" s="9" t="s">
        <v>306</v>
      </c>
      <c r="F84" s="9" t="s">
        <v>39</v>
      </c>
      <c r="G84" s="9"/>
      <c r="H84" s="9" t="s">
        <v>9</v>
      </c>
      <c r="I84" s="9" t="s">
        <v>261</v>
      </c>
      <c r="J84" s="9"/>
      <c r="K84" s="9"/>
      <c r="L84" s="9"/>
    </row>
    <row r="85" customFormat="false" ht="15" hidden="false" customHeight="false" outlineLevel="0" collapsed="false">
      <c r="A85" s="9" t="s">
        <v>307</v>
      </c>
      <c r="B85" s="9" t="s">
        <v>17</v>
      </c>
      <c r="C85" s="9" t="s">
        <v>258</v>
      </c>
      <c r="D85" s="9" t="s">
        <v>308</v>
      </c>
      <c r="E85" s="9" t="s">
        <v>309</v>
      </c>
      <c r="F85" s="9" t="s">
        <v>39</v>
      </c>
      <c r="G85" s="9"/>
      <c r="H85" s="9" t="s">
        <v>9</v>
      </c>
      <c r="I85" s="9" t="s">
        <v>261</v>
      </c>
      <c r="J85" s="9"/>
      <c r="K85" s="9"/>
      <c r="L85" s="9"/>
    </row>
    <row r="86" customFormat="false" ht="15" hidden="false" customHeight="false" outlineLevel="0" collapsed="false">
      <c r="A86" s="9" t="s">
        <v>310</v>
      </c>
      <c r="B86" s="9" t="s">
        <v>17</v>
      </c>
      <c r="C86" s="9" t="s">
        <v>258</v>
      </c>
      <c r="D86" s="9" t="s">
        <v>311</v>
      </c>
      <c r="E86" s="9" t="s">
        <v>76</v>
      </c>
      <c r="F86" s="9" t="s">
        <v>39</v>
      </c>
      <c r="G86" s="9"/>
      <c r="H86" s="9" t="s">
        <v>9</v>
      </c>
      <c r="I86" s="9" t="s">
        <v>261</v>
      </c>
      <c r="J86" s="9"/>
      <c r="K86" s="9"/>
      <c r="L86" s="9"/>
    </row>
    <row r="87" customFormat="false" ht="15" hidden="false" customHeight="false" outlineLevel="0" collapsed="false">
      <c r="A87" s="9" t="s">
        <v>312</v>
      </c>
      <c r="B87" s="9" t="s">
        <v>17</v>
      </c>
      <c r="C87" s="9" t="s">
        <v>258</v>
      </c>
      <c r="D87" s="9" t="s">
        <v>313</v>
      </c>
      <c r="E87" s="9" t="s">
        <v>314</v>
      </c>
      <c r="F87" s="9" t="s">
        <v>39</v>
      </c>
      <c r="G87" s="9"/>
      <c r="H87" s="9" t="s">
        <v>9</v>
      </c>
      <c r="I87" s="9" t="s">
        <v>261</v>
      </c>
      <c r="J87" s="9"/>
      <c r="K87" s="9"/>
      <c r="L87" s="9"/>
    </row>
    <row r="88" customFormat="false" ht="15" hidden="false" customHeight="false" outlineLevel="0" collapsed="false">
      <c r="A88" s="9" t="s">
        <v>315</v>
      </c>
      <c r="B88" s="9" t="s">
        <v>17</v>
      </c>
      <c r="C88" s="9" t="s">
        <v>258</v>
      </c>
      <c r="D88" s="9" t="s">
        <v>316</v>
      </c>
      <c r="E88" s="9" t="s">
        <v>317</v>
      </c>
      <c r="F88" s="9" t="s">
        <v>39</v>
      </c>
      <c r="G88" s="9"/>
      <c r="H88" s="9" t="s">
        <v>9</v>
      </c>
      <c r="I88" s="9" t="s">
        <v>261</v>
      </c>
      <c r="J88" s="9"/>
      <c r="K88" s="9"/>
      <c r="L88" s="9"/>
    </row>
  </sheetData>
  <autoFilter ref="A1:L88"/>
  <conditionalFormatting sqref="H2:H88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  <cfRule type="cellIs" priority="4" operator="equal" aboveAverage="0" equalAverage="0" bottom="0" percent="0" rank="0" text="" dxfId="8">
      <formula>"Blocked"</formula>
    </cfRule>
    <cfRule type="cellIs" priority="5" operator="equal" aboveAverage="0" equalAverage="0" bottom="0" percent="0" rank="0" text="" dxfId="9">
      <formula>"Not Implemented"</formula>
    </cfRule>
    <cfRule type="cellIs" priority="6" operator="equal" aboveAverage="0" equalAverage="0" bottom="0" percent="0" rank="0" text="" dxfId="10">
      <formula>"Not Run"</formula>
    </cfRule>
  </conditionalFormatting>
  <dataValidations count="1">
    <dataValidation allowBlank="false" errorStyle="stop" operator="between" showDropDown="false" showErrorMessage="false" showInputMessage="false" sqref="H2:H88" type="list">
      <formula1>"Pass,Fail,Not Run,Blocked,Not 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2026-10-19T03:09:40Z</dcterms:created>
  <dc:creator>openpyxl</dc:creator>
  <dc:description/>
  <dc:language>en-US</dc:language>
  <cp:lastModifiedBy/>
  <dcterms:modified xsi:type="dcterms:W3CDTF">2026-10-19T03:09:40Z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